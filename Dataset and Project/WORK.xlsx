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tables/table9.xml" ContentType="application/vnd.openxmlformats-officedocument.spreadsheetml.table+xml"/>
  <Override PartName="/xl/queryTables/queryTable1.xml" ContentType="application/vnd.openxmlformats-officedocument.spreadsheetml.queryTable+xml"/>
  <Override PartName="/xl/tables/table10.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1.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https://d.docs.live.net/3bdd5533abd7e3c0/Desktop/Volyo solution internship/"/>
    </mc:Choice>
  </mc:AlternateContent>
  <xr:revisionPtr revIDLastSave="3" documentId="14_{73811556-E32E-4E03-800F-6EA2D3C6333F}" xr6:coauthVersionLast="47" xr6:coauthVersionMax="47" xr10:uidLastSave="{FFB82274-3349-463D-93BC-44F98D636EFC}"/>
  <bookViews>
    <workbookView xWindow="-120" yWindow="-120" windowWidth="29040" windowHeight="15720" firstSheet="2" activeTab="3" xr2:uid="{B1ABAF66-4935-4529-B784-15FDB6E13E8E}"/>
  </bookViews>
  <sheets>
    <sheet name="NIF 4.c.1" sheetId="16" r:id="rId1"/>
    <sheet name="NIF 4.a.1 - 2018-19" sheetId="15" r:id="rId2"/>
    <sheet name="NIF 4.a.1 - 2017-18" sheetId="14" r:id="rId3"/>
    <sheet name="NIF 4.a.1 - 2016-17" sheetId="13" r:id="rId4"/>
    <sheet name="School acess" sheetId="12" r:id="rId5"/>
    <sheet name="dashbaord" sheetId="11" r:id="rId6"/>
    <sheet name="literacy rate" sheetId="10" r:id="rId7"/>
    <sheet name="primary school" sheetId="9" r:id="rId8"/>
    <sheet name="Sheet3" sheetId="8" r:id="rId9"/>
    <sheet name="daily excel report" sheetId="3" r:id="rId10"/>
    <sheet name="disablites 2017" sheetId="4" r:id="rId11"/>
    <sheet name="DASHBOARD" sheetId="17" r:id="rId12"/>
    <sheet name="Student Dataset" sheetId="5" r:id="rId13"/>
    <sheet name="Student Dataset (2)" sheetId="6" r:id="rId14"/>
    <sheet name=" disabilties 2018" sheetId="7" r:id="rId15"/>
    <sheet name="disablites 2016" sheetId="2" r:id="rId16"/>
  </sheets>
  <definedNames>
    <definedName name="_xlnm._FilterDatabase" localSheetId="9" hidden="1">'daily excel report'!$A$130:$I$155</definedName>
    <definedName name="_xlnm._FilterDatabase" localSheetId="15" hidden="1">'disablites 2016'!$A$4:$F$41</definedName>
    <definedName name="_xlchart.v1.0" hidden="1">'NIF 4.a.1 - 2018-19'!$A$5:$A$41</definedName>
    <definedName name="_xlchart.v1.1" hidden="1">'NIF 4.a.1 - 2018-19'!$B$5:$B$41</definedName>
    <definedName name="_xlchart.v1.2" hidden="1">'NIF 4.a.1 - 2018-19'!$C$5:$C$41</definedName>
    <definedName name="_xlchart.v1.3" hidden="1">'NIF 4.a.1 - 2018-19'!$D$5:$D$41</definedName>
    <definedName name="_xlchart.v1.4" hidden="1">'NIF 4.a.1 - 2018-19'!$E$5:$E$41</definedName>
    <definedName name="_xlchart.v1.5" hidden="1">'NIF 4.a.1 - 2018-19'!$F$5:$F$41</definedName>
    <definedName name="_xlchart.v1.6" hidden="1">'NIF 4.a.1 - 2018-19'!$G$5:$G$41</definedName>
    <definedName name="_xlchart.v1.7" hidden="1">'NIF 4.a.1 - 2018-19'!$H$5:$H$41</definedName>
    <definedName name="ExternalData_1" localSheetId="12" hidden="1">'Student Dataset'!$A$1:$M$151</definedName>
    <definedName name="ExternalData_1" localSheetId="13" hidden="1">'Student Dataset (2)'!$A$1:$EU$12</definedName>
    <definedName name="Slicer_Elementary">#N/A</definedName>
    <definedName name="Slicer_Secondary">#N/A</definedName>
  </definedNames>
  <calcPr calcId="191029"/>
  <pivotCaches>
    <pivotCache cacheId="0" r:id="rId17"/>
    <pivotCache cacheId="1" r:id="rId18"/>
    <pivotCache cacheId="2" r:id="rId19"/>
    <pivotCache cacheId="3" r:id="rId20"/>
    <pivotCache cacheId="4"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92" i="3" l="1"/>
  <c r="B4" i="17"/>
  <c r="S27" i="17"/>
  <c r="S21" i="17"/>
  <c r="S22" i="17"/>
  <c r="S23" i="17"/>
  <c r="S24" i="17"/>
  <c r="S25" i="17"/>
  <c r="S26" i="17"/>
  <c r="S28" i="17"/>
  <c r="S20" i="17"/>
  <c r="S19" i="17"/>
  <c r="H43" i="12"/>
  <c r="I43" i="12"/>
  <c r="B10" i="6"/>
  <c r="C10" i="6"/>
  <c r="D10" i="6"/>
  <c r="E10" i="6"/>
  <c r="F10" i="6"/>
  <c r="J142" i="5"/>
  <c r="L142" i="5" s="1"/>
  <c r="M142" i="5" s="1"/>
  <c r="J140" i="5"/>
  <c r="L140" i="5" s="1"/>
  <c r="M140" i="5" s="1"/>
  <c r="J19" i="5"/>
  <c r="L19" i="5" s="1"/>
  <c r="M19" i="5" s="1"/>
  <c r="Q4" i="5"/>
  <c r="R4" i="5"/>
  <c r="S4" i="5"/>
  <c r="T4" i="5"/>
  <c r="U4" i="5"/>
  <c r="V4" i="5"/>
  <c r="W4" i="5"/>
  <c r="X4" i="5"/>
  <c r="Y4" i="5"/>
  <c r="Z4" i="5"/>
  <c r="J123" i="5"/>
  <c r="L123" i="5" s="1"/>
  <c r="M123" i="5" s="1"/>
  <c r="Q5" i="5"/>
  <c r="R5" i="5"/>
  <c r="S5" i="5"/>
  <c r="J79" i="5"/>
  <c r="L79" i="5" s="1"/>
  <c r="M79" i="5" s="1"/>
  <c r="J22" i="5"/>
  <c r="L22" i="5" s="1"/>
  <c r="M22" i="5" s="1"/>
  <c r="J52" i="5"/>
  <c r="L52" i="5" s="1"/>
  <c r="M52" i="5" s="1"/>
  <c r="J121" i="5"/>
  <c r="L121" i="5" s="1"/>
  <c r="M121" i="5" s="1"/>
  <c r="J2" i="5"/>
  <c r="L2" i="5" s="1"/>
  <c r="M2" i="5" s="1"/>
  <c r="J122" i="5"/>
  <c r="L122" i="5" s="1"/>
  <c r="M122" i="5" s="1"/>
  <c r="J141" i="5"/>
  <c r="L141" i="5" s="1"/>
  <c r="M141" i="5" s="1"/>
  <c r="J18" i="5"/>
  <c r="L18" i="5"/>
  <c r="M18" i="5" s="1"/>
  <c r="J44" i="5"/>
  <c r="L44" i="5" s="1"/>
  <c r="M44" i="5" s="1"/>
  <c r="J20" i="5"/>
  <c r="L20" i="5" s="1"/>
  <c r="M20" i="5" s="1"/>
  <c r="J53" i="5"/>
  <c r="L53" i="5" s="1"/>
  <c r="M53" i="5" s="1"/>
  <c r="J80" i="5"/>
  <c r="L80" i="5"/>
  <c r="M80" i="5" s="1"/>
  <c r="J21" i="5"/>
  <c r="L21" i="5"/>
  <c r="M21" i="5" s="1"/>
  <c r="J81" i="5"/>
  <c r="L81" i="5" s="1"/>
  <c r="M81" i="5" s="1"/>
  <c r="J124" i="5"/>
  <c r="L124" i="5" s="1"/>
  <c r="M124" i="5" s="1"/>
  <c r="J82" i="5"/>
  <c r="L82" i="5" s="1"/>
  <c r="M82" i="5" s="1"/>
  <c r="J103" i="5"/>
  <c r="L103" i="5"/>
  <c r="M103" i="5" s="1"/>
  <c r="J54" i="5"/>
  <c r="L54" i="5" s="1"/>
  <c r="M54" i="5" s="1"/>
  <c r="J83" i="5"/>
  <c r="L83" i="5"/>
  <c r="M83" i="5" s="1"/>
  <c r="J64" i="5"/>
  <c r="L64" i="5" s="1"/>
  <c r="M64" i="5" s="1"/>
  <c r="J125" i="5"/>
  <c r="L125" i="5" s="1"/>
  <c r="M125" i="5" s="1"/>
  <c r="J3" i="5"/>
  <c r="L3" i="5" s="1"/>
  <c r="M3" i="5"/>
  <c r="J104" i="5"/>
  <c r="L104" i="5" s="1"/>
  <c r="M104" i="5" s="1"/>
  <c r="J105" i="5"/>
  <c r="L105" i="5" s="1"/>
  <c r="M105" i="5" s="1"/>
  <c r="J106" i="5"/>
  <c r="L106" i="5" s="1"/>
  <c r="M106" i="5" s="1"/>
  <c r="J37" i="5"/>
  <c r="L37" i="5" s="1"/>
  <c r="M37" i="5" s="1"/>
  <c r="J84" i="5"/>
  <c r="L84" i="5" s="1"/>
  <c r="M84" i="5" s="1"/>
  <c r="J23" i="5"/>
  <c r="L23" i="5" s="1"/>
  <c r="M23" i="5" s="1"/>
  <c r="J143" i="5"/>
  <c r="L143" i="5"/>
  <c r="M143" i="5" s="1"/>
  <c r="J85" i="5"/>
  <c r="L85" i="5" s="1"/>
  <c r="M85" i="5"/>
  <c r="J107" i="5"/>
  <c r="L107" i="5" s="1"/>
  <c r="M107" i="5" s="1"/>
  <c r="J65" i="5"/>
  <c r="L65" i="5" s="1"/>
  <c r="M65" i="5" s="1"/>
  <c r="J86" i="5"/>
  <c r="L86" i="5"/>
  <c r="M86" i="5" s="1"/>
  <c r="J126" i="5"/>
  <c r="L126" i="5" s="1"/>
  <c r="M126" i="5" s="1"/>
  <c r="J55" i="5"/>
  <c r="L55" i="5" s="1"/>
  <c r="M55" i="5" s="1"/>
  <c r="J66" i="5"/>
  <c r="L66" i="5" s="1"/>
  <c r="M66" i="5" s="1"/>
  <c r="J127" i="5"/>
  <c r="L127" i="5"/>
  <c r="M127" i="5" s="1"/>
  <c r="J24" i="5"/>
  <c r="L24" i="5" s="1"/>
  <c r="M24" i="5" s="1"/>
  <c r="J128" i="5"/>
  <c r="L128" i="5" s="1"/>
  <c r="M128" i="5" s="1"/>
  <c r="J4" i="5"/>
  <c r="L4" i="5"/>
  <c r="M4" i="5" s="1"/>
  <c r="J87" i="5"/>
  <c r="L87" i="5"/>
  <c r="M87" i="5" s="1"/>
  <c r="J88" i="5"/>
  <c r="L88" i="5" s="1"/>
  <c r="M88" i="5" s="1"/>
  <c r="J5" i="5"/>
  <c r="L5" i="5"/>
  <c r="M5" i="5" s="1"/>
  <c r="J108" i="5"/>
  <c r="L108" i="5" s="1"/>
  <c r="M108" i="5" s="1"/>
  <c r="J6" i="5"/>
  <c r="L6" i="5" s="1"/>
  <c r="M6" i="5" s="1"/>
  <c r="J45" i="5"/>
  <c r="L45" i="5" s="1"/>
  <c r="M45" i="5" s="1"/>
  <c r="J109" i="5"/>
  <c r="L109" i="5" s="1"/>
  <c r="M109" i="5" s="1"/>
  <c r="J110" i="5"/>
  <c r="L110" i="5"/>
  <c r="M110" i="5" s="1"/>
  <c r="J89" i="5"/>
  <c r="L89" i="5" s="1"/>
  <c r="M89" i="5" s="1"/>
  <c r="J46" i="5"/>
  <c r="L46" i="5" s="1"/>
  <c r="M46" i="5" s="1"/>
  <c r="J90" i="5"/>
  <c r="L90" i="5" s="1"/>
  <c r="M90" i="5" s="1"/>
  <c r="J129" i="5"/>
  <c r="L129" i="5" s="1"/>
  <c r="M129" i="5" s="1"/>
  <c r="J7" i="5"/>
  <c r="L7" i="5" s="1"/>
  <c r="M7" i="5" s="1"/>
  <c r="J130" i="5"/>
  <c r="L130" i="5" s="1"/>
  <c r="M130" i="5" s="1"/>
  <c r="J91" i="5"/>
  <c r="L91" i="5" s="1"/>
  <c r="M91" i="5" s="1"/>
  <c r="J92" i="5"/>
  <c r="L92" i="5"/>
  <c r="M92" i="5" s="1"/>
  <c r="J93" i="5"/>
  <c r="L93" i="5" s="1"/>
  <c r="M93" i="5" s="1"/>
  <c r="J131" i="5"/>
  <c r="L131" i="5" s="1"/>
  <c r="M131" i="5" s="1"/>
  <c r="J25" i="5"/>
  <c r="L25" i="5" s="1"/>
  <c r="M25" i="5" s="1"/>
  <c r="J67" i="5"/>
  <c r="L67" i="5" s="1"/>
  <c r="M67" i="5" s="1"/>
  <c r="J94" i="5"/>
  <c r="L94" i="5" s="1"/>
  <c r="M94" i="5" s="1"/>
  <c r="J95" i="5"/>
  <c r="L95" i="5" s="1"/>
  <c r="M95" i="5" s="1"/>
  <c r="J144" i="5"/>
  <c r="L144" i="5" s="1"/>
  <c r="M144" i="5" s="1"/>
  <c r="J26" i="5"/>
  <c r="L26" i="5" s="1"/>
  <c r="M26" i="5" s="1"/>
  <c r="J111" i="5"/>
  <c r="L111" i="5" s="1"/>
  <c r="M111" i="5" s="1"/>
  <c r="J56" i="5"/>
  <c r="L56" i="5" s="1"/>
  <c r="M56" i="5" s="1"/>
  <c r="J68" i="5"/>
  <c r="L68" i="5"/>
  <c r="M68" i="5" s="1"/>
  <c r="J69" i="5"/>
  <c r="L69" i="5" s="1"/>
  <c r="M69" i="5" s="1"/>
  <c r="J27" i="5"/>
  <c r="L27" i="5" s="1"/>
  <c r="M27" i="5" s="1"/>
  <c r="J28" i="5"/>
  <c r="L28" i="5" s="1"/>
  <c r="M28" i="5" s="1"/>
  <c r="J70" i="5"/>
  <c r="L70" i="5" s="1"/>
  <c r="M70" i="5" s="1"/>
  <c r="J132" i="5"/>
  <c r="L132" i="5" s="1"/>
  <c r="M132" i="5" s="1"/>
  <c r="J38" i="5"/>
  <c r="L38" i="5" s="1"/>
  <c r="M38" i="5" s="1"/>
  <c r="J29" i="5"/>
  <c r="L29" i="5" s="1"/>
  <c r="M29" i="5" s="1"/>
  <c r="J133" i="5"/>
  <c r="L133" i="5" s="1"/>
  <c r="M133" i="5" s="1"/>
  <c r="J96" i="5"/>
  <c r="L96" i="5" s="1"/>
  <c r="M96" i="5" s="1"/>
  <c r="J134" i="5"/>
  <c r="L134" i="5"/>
  <c r="M134" i="5" s="1"/>
  <c r="J57" i="5"/>
  <c r="L57" i="5" s="1"/>
  <c r="M57" i="5"/>
  <c r="J39" i="5"/>
  <c r="L39" i="5" s="1"/>
  <c r="M39" i="5" s="1"/>
  <c r="J135" i="5"/>
  <c r="L135" i="5" s="1"/>
  <c r="M135" i="5" s="1"/>
  <c r="J97" i="5"/>
  <c r="L97" i="5"/>
  <c r="M97" i="5" s="1"/>
  <c r="J112" i="5"/>
  <c r="L112" i="5" s="1"/>
  <c r="M112" i="5" s="1"/>
  <c r="J98" i="5"/>
  <c r="L98" i="5"/>
  <c r="M98" i="5" s="1"/>
  <c r="J145" i="5"/>
  <c r="L145" i="5" s="1"/>
  <c r="M145" i="5" s="1"/>
  <c r="J71" i="5"/>
  <c r="L71" i="5" s="1"/>
  <c r="M71" i="5" s="1"/>
  <c r="J136" i="5"/>
  <c r="L136" i="5" s="1"/>
  <c r="M136" i="5"/>
  <c r="J99" i="5"/>
  <c r="L99" i="5" s="1"/>
  <c r="M99" i="5" s="1"/>
  <c r="J8" i="5"/>
  <c r="L8" i="5" s="1"/>
  <c r="M8" i="5" s="1"/>
  <c r="J113" i="5"/>
  <c r="L113" i="5" s="1"/>
  <c r="M113" i="5" s="1"/>
  <c r="J58" i="5"/>
  <c r="L58" i="5" s="1"/>
  <c r="M58" i="5" s="1"/>
  <c r="J72" i="5"/>
  <c r="L72" i="5" s="1"/>
  <c r="M72" i="5" s="1"/>
  <c r="J73" i="5"/>
  <c r="L73" i="5" s="1"/>
  <c r="M73" i="5" s="1"/>
  <c r="J146" i="5"/>
  <c r="L146" i="5"/>
  <c r="M146" i="5" s="1"/>
  <c r="J59" i="5"/>
  <c r="L59" i="5" s="1"/>
  <c r="M59" i="5"/>
  <c r="J47" i="5"/>
  <c r="L47" i="5" s="1"/>
  <c r="M47" i="5" s="1"/>
  <c r="J48" i="5"/>
  <c r="L48" i="5" s="1"/>
  <c r="M48" i="5" s="1"/>
  <c r="J40" i="5"/>
  <c r="L40" i="5"/>
  <c r="M40" i="5" s="1"/>
  <c r="J147" i="5"/>
  <c r="L147" i="5" s="1"/>
  <c r="M147" i="5" s="1"/>
  <c r="J30" i="5"/>
  <c r="L30" i="5" s="1"/>
  <c r="M30" i="5" s="1"/>
  <c r="J31" i="5"/>
  <c r="L31" i="5" s="1"/>
  <c r="M31" i="5" s="1"/>
  <c r="J60" i="5"/>
  <c r="L60" i="5"/>
  <c r="M60" i="5" s="1"/>
  <c r="J148" i="5"/>
  <c r="L148" i="5" s="1"/>
  <c r="M148" i="5" s="1"/>
  <c r="J32" i="5"/>
  <c r="L32" i="5" s="1"/>
  <c r="M32" i="5" s="1"/>
  <c r="J74" i="5"/>
  <c r="L74" i="5"/>
  <c r="M74" i="5" s="1"/>
  <c r="J33" i="5"/>
  <c r="L33" i="5"/>
  <c r="M33" i="5" s="1"/>
  <c r="J41" i="5"/>
  <c r="L41" i="5" s="1"/>
  <c r="M41" i="5" s="1"/>
  <c r="J42" i="5"/>
  <c r="L42" i="5"/>
  <c r="M42" i="5" s="1"/>
  <c r="J9" i="5"/>
  <c r="L9" i="5" s="1"/>
  <c r="M9" i="5" s="1"/>
  <c r="J43" i="5"/>
  <c r="L43" i="5" s="1"/>
  <c r="M43" i="5" s="1"/>
  <c r="J149" i="5"/>
  <c r="L149" i="5" s="1"/>
  <c r="M149" i="5" s="1"/>
  <c r="J10" i="5"/>
  <c r="L10" i="5" s="1"/>
  <c r="M10" i="5" s="1"/>
  <c r="J114" i="5"/>
  <c r="L114" i="5"/>
  <c r="M114" i="5" s="1"/>
  <c r="J100" i="5"/>
  <c r="L100" i="5" s="1"/>
  <c r="M100" i="5" s="1"/>
  <c r="J75" i="5"/>
  <c r="L75" i="5" s="1"/>
  <c r="M75" i="5" s="1"/>
  <c r="J34" i="5"/>
  <c r="L34" i="5" s="1"/>
  <c r="M34" i="5" s="1"/>
  <c r="J115" i="5"/>
  <c r="L115" i="5" s="1"/>
  <c r="M115" i="5" s="1"/>
  <c r="J61" i="5"/>
  <c r="L61" i="5" s="1"/>
  <c r="M61" i="5" s="1"/>
  <c r="J137" i="5"/>
  <c r="L137" i="5" s="1"/>
  <c r="M137" i="5" s="1"/>
  <c r="J76" i="5"/>
  <c r="L76" i="5" s="1"/>
  <c r="M76" i="5" s="1"/>
  <c r="J101" i="5"/>
  <c r="L101" i="5"/>
  <c r="M101" i="5" s="1"/>
  <c r="J35" i="5"/>
  <c r="L35" i="5" s="1"/>
  <c r="M35" i="5" s="1"/>
  <c r="J11" i="5"/>
  <c r="L11" i="5" s="1"/>
  <c r="M11" i="5" s="1"/>
  <c r="J49" i="5"/>
  <c r="L49" i="5" s="1"/>
  <c r="M49" i="5" s="1"/>
  <c r="J150" i="5"/>
  <c r="L150" i="5" s="1"/>
  <c r="M150" i="5" s="1"/>
  <c r="J12" i="5"/>
  <c r="L12" i="5" s="1"/>
  <c r="M12" i="5" s="1"/>
  <c r="J62" i="5"/>
  <c r="L62" i="5" s="1"/>
  <c r="M62" i="5" s="1"/>
  <c r="J13" i="5"/>
  <c r="L13" i="5" s="1"/>
  <c r="M13" i="5" s="1"/>
  <c r="J102" i="5"/>
  <c r="L102" i="5" s="1"/>
  <c r="M102" i="5" s="1"/>
  <c r="J14" i="5"/>
  <c r="L14" i="5" s="1"/>
  <c r="M14" i="5" s="1"/>
  <c r="J15" i="5"/>
  <c r="L15" i="5" s="1"/>
  <c r="M15" i="5" s="1"/>
  <c r="J116" i="5"/>
  <c r="L116" i="5"/>
  <c r="M116" i="5" s="1"/>
  <c r="J151" i="5"/>
  <c r="L151" i="5" s="1"/>
  <c r="M151" i="5" s="1"/>
  <c r="J16" i="5"/>
  <c r="L16" i="5" s="1"/>
  <c r="M16" i="5" s="1"/>
  <c r="J117" i="5"/>
  <c r="L117" i="5" s="1"/>
  <c r="M117" i="5" s="1"/>
  <c r="J63" i="5"/>
  <c r="L63" i="5" s="1"/>
  <c r="M63" i="5" s="1"/>
  <c r="J138" i="5"/>
  <c r="L138" i="5" s="1"/>
  <c r="M138" i="5" s="1"/>
  <c r="J50" i="5"/>
  <c r="L50" i="5" s="1"/>
  <c r="M50" i="5" s="1"/>
  <c r="J51" i="5"/>
  <c r="L51" i="5" s="1"/>
  <c r="M51" i="5" s="1"/>
  <c r="J118" i="5"/>
  <c r="L118" i="5" s="1"/>
  <c r="M118" i="5" s="1"/>
  <c r="J119" i="5"/>
  <c r="L119" i="5" s="1"/>
  <c r="M119" i="5" s="1"/>
  <c r="J17" i="5"/>
  <c r="L17" i="5"/>
  <c r="M17" i="5" s="1"/>
  <c r="J120" i="5"/>
  <c r="L120" i="5" s="1"/>
  <c r="M120" i="5"/>
  <c r="J36" i="5"/>
  <c r="L36" i="5" s="1"/>
  <c r="M36" i="5" s="1"/>
  <c r="J77" i="5"/>
  <c r="L77" i="5" s="1"/>
  <c r="M77" i="5" s="1"/>
  <c r="J139" i="5"/>
  <c r="L139" i="5"/>
  <c r="M139" i="5" s="1"/>
  <c r="J78" i="5"/>
  <c r="L78" i="5" s="1"/>
  <c r="M78" i="5" s="1"/>
  <c r="D152" i="5"/>
  <c r="E152" i="5"/>
  <c r="F152" i="5"/>
  <c r="G152" i="5"/>
  <c r="H152" i="5"/>
  <c r="I152" i="5"/>
  <c r="M156" i="5"/>
  <c r="B5" i="3"/>
  <c r="C5" i="3"/>
  <c r="D5" i="3"/>
  <c r="E5" i="3"/>
  <c r="F5" i="3"/>
  <c r="E8" i="3"/>
  <c r="B17" i="3"/>
  <c r="C17" i="3"/>
  <c r="D17" i="3"/>
  <c r="E17" i="3"/>
  <c r="F17" i="3"/>
  <c r="D23" i="3"/>
  <c r="D24" i="3"/>
  <c r="D25" i="3"/>
  <c r="D26" i="3"/>
  <c r="D27" i="3"/>
  <c r="D28" i="3"/>
  <c r="D29" i="3"/>
  <c r="D30" i="3"/>
  <c r="D31" i="3"/>
  <c r="D32" i="3"/>
  <c r="D36" i="3"/>
  <c r="E36" i="3"/>
  <c r="F36" i="3"/>
  <c r="G36" i="3"/>
  <c r="H36" i="3"/>
  <c r="J36" i="3"/>
  <c r="D37" i="3"/>
  <c r="E37" i="3"/>
  <c r="F37" i="3"/>
  <c r="G37" i="3"/>
  <c r="H37" i="3"/>
  <c r="J37" i="3"/>
  <c r="D38" i="3"/>
  <c r="E38" i="3"/>
  <c r="F38" i="3"/>
  <c r="G38" i="3"/>
  <c r="H38" i="3"/>
  <c r="J38" i="3"/>
  <c r="D39" i="3"/>
  <c r="E39" i="3"/>
  <c r="F39" i="3"/>
  <c r="G39" i="3"/>
  <c r="H39" i="3"/>
  <c r="J39" i="3"/>
  <c r="D40" i="3"/>
  <c r="E40" i="3"/>
  <c r="F40" i="3"/>
  <c r="G40" i="3"/>
  <c r="H40" i="3"/>
  <c r="J40" i="3"/>
  <c r="D41" i="3"/>
  <c r="E41" i="3"/>
  <c r="F41" i="3"/>
  <c r="G41" i="3"/>
  <c r="H41" i="3"/>
  <c r="J41" i="3"/>
  <c r="D42" i="3"/>
  <c r="E42" i="3"/>
  <c r="F42" i="3"/>
  <c r="G42" i="3"/>
  <c r="H42" i="3"/>
  <c r="J42" i="3"/>
  <c r="D43" i="3"/>
  <c r="E43" i="3"/>
  <c r="F43" i="3"/>
  <c r="G43" i="3"/>
  <c r="H43" i="3"/>
  <c r="J43" i="3"/>
  <c r="D44" i="3"/>
  <c r="E44" i="3"/>
  <c r="F44" i="3"/>
  <c r="G44" i="3"/>
  <c r="H44" i="3"/>
  <c r="J44" i="3"/>
  <c r="D45" i="3"/>
  <c r="E45" i="3"/>
  <c r="F45" i="3"/>
  <c r="G45" i="3"/>
  <c r="H45" i="3"/>
  <c r="J45" i="3"/>
  <c r="I51" i="3"/>
  <c r="J51" i="3"/>
  <c r="K51" i="3"/>
  <c r="L51" i="3"/>
  <c r="N51" i="3"/>
  <c r="O51" i="3"/>
  <c r="P51" i="3"/>
  <c r="I52" i="3"/>
  <c r="M51" i="3" s="1"/>
  <c r="J52" i="3"/>
  <c r="K52" i="3"/>
  <c r="L52" i="3"/>
  <c r="N52" i="3"/>
  <c r="O52" i="3"/>
  <c r="P52" i="3"/>
  <c r="I53" i="3"/>
  <c r="J53" i="3"/>
  <c r="K53" i="3"/>
  <c r="L53" i="3"/>
  <c r="N53" i="3"/>
  <c r="O53" i="3"/>
  <c r="P53" i="3"/>
  <c r="I54" i="3"/>
  <c r="J54" i="3"/>
  <c r="K54" i="3"/>
  <c r="L54" i="3"/>
  <c r="N54" i="3"/>
  <c r="O54" i="3"/>
  <c r="P54" i="3"/>
  <c r="I55" i="3"/>
  <c r="J55" i="3"/>
  <c r="K55" i="3"/>
  <c r="L55" i="3"/>
  <c r="N55" i="3"/>
  <c r="O55" i="3"/>
  <c r="P55" i="3"/>
  <c r="I56" i="3"/>
  <c r="M55" i="3" s="1"/>
  <c r="J56" i="3"/>
  <c r="K56" i="3"/>
  <c r="L56" i="3"/>
  <c r="N56" i="3"/>
  <c r="O56" i="3"/>
  <c r="P56" i="3"/>
  <c r="I57" i="3"/>
  <c r="M54" i="3" s="1"/>
  <c r="J57" i="3"/>
  <c r="K57" i="3"/>
  <c r="L57" i="3"/>
  <c r="N57" i="3"/>
  <c r="O57" i="3"/>
  <c r="P57" i="3"/>
  <c r="I58" i="3"/>
  <c r="J58" i="3"/>
  <c r="K58" i="3"/>
  <c r="L58" i="3"/>
  <c r="N58" i="3"/>
  <c r="O58" i="3"/>
  <c r="P58" i="3"/>
  <c r="I59" i="3"/>
  <c r="J59" i="3"/>
  <c r="K59" i="3"/>
  <c r="L59" i="3"/>
  <c r="N59" i="3"/>
  <c r="O59" i="3"/>
  <c r="P59" i="3"/>
  <c r="I60" i="3"/>
  <c r="M52" i="3" s="1"/>
  <c r="J60" i="3"/>
  <c r="K60" i="3"/>
  <c r="L60" i="3"/>
  <c r="N60" i="3"/>
  <c r="O60" i="3"/>
  <c r="P60" i="3"/>
  <c r="I61" i="3"/>
  <c r="M53" i="3" s="1"/>
  <c r="J61" i="3"/>
  <c r="K61" i="3"/>
  <c r="L61" i="3"/>
  <c r="N61" i="3"/>
  <c r="O61" i="3"/>
  <c r="P61" i="3"/>
  <c r="I62" i="3"/>
  <c r="M58" i="3" s="1"/>
  <c r="J62" i="3"/>
  <c r="K62" i="3"/>
  <c r="L62" i="3"/>
  <c r="M62" i="3"/>
  <c r="N62" i="3"/>
  <c r="O62" i="3"/>
  <c r="P62" i="3"/>
  <c r="I63" i="3"/>
  <c r="M57" i="3" s="1"/>
  <c r="J63" i="3"/>
  <c r="K63" i="3"/>
  <c r="L63" i="3"/>
  <c r="N63" i="3"/>
  <c r="O63" i="3"/>
  <c r="P63" i="3"/>
  <c r="I64" i="3"/>
  <c r="M56" i="3" s="1"/>
  <c r="J64" i="3"/>
  <c r="K64" i="3"/>
  <c r="L64" i="3"/>
  <c r="N64" i="3"/>
  <c r="O64" i="3"/>
  <c r="P64" i="3"/>
  <c r="I65" i="3"/>
  <c r="J65" i="3"/>
  <c r="K65" i="3"/>
  <c r="L65" i="3"/>
  <c r="N65" i="3"/>
  <c r="O65" i="3"/>
  <c r="P65" i="3"/>
  <c r="I66" i="3"/>
  <c r="J66" i="3"/>
  <c r="K66" i="3"/>
  <c r="L66" i="3"/>
  <c r="N66" i="3"/>
  <c r="O66" i="3"/>
  <c r="P66" i="3"/>
  <c r="I67" i="3"/>
  <c r="J67" i="3"/>
  <c r="K67" i="3"/>
  <c r="L67" i="3"/>
  <c r="N67" i="3"/>
  <c r="O67" i="3"/>
  <c r="P67" i="3"/>
  <c r="I68" i="3"/>
  <c r="J68" i="3"/>
  <c r="K68" i="3"/>
  <c r="L68" i="3"/>
  <c r="N68" i="3"/>
  <c r="O68" i="3"/>
  <c r="P68" i="3"/>
  <c r="I69" i="3"/>
  <c r="M60" i="3" s="1"/>
  <c r="J69" i="3"/>
  <c r="K69" i="3"/>
  <c r="L69" i="3"/>
  <c r="N69" i="3"/>
  <c r="O69" i="3"/>
  <c r="P69" i="3"/>
  <c r="I74" i="3"/>
  <c r="M63" i="3" s="1"/>
  <c r="J74" i="3"/>
  <c r="K74" i="3"/>
  <c r="L74" i="3"/>
  <c r="M74" i="3"/>
  <c r="N74" i="3"/>
  <c r="I75" i="3"/>
  <c r="J75" i="3"/>
  <c r="K75" i="3"/>
  <c r="L75" i="3"/>
  <c r="M75" i="3"/>
  <c r="N75" i="3"/>
  <c r="I76" i="3"/>
  <c r="J76" i="3"/>
  <c r="K76" i="3"/>
  <c r="L76" i="3"/>
  <c r="M76" i="3"/>
  <c r="N76" i="3"/>
  <c r="I77" i="3"/>
  <c r="J77" i="3"/>
  <c r="K77" i="3"/>
  <c r="L77" i="3"/>
  <c r="M77" i="3"/>
  <c r="N77" i="3"/>
  <c r="I78" i="3"/>
  <c r="J78" i="3"/>
  <c r="K78" i="3"/>
  <c r="L78" i="3"/>
  <c r="M78" i="3"/>
  <c r="N78" i="3"/>
  <c r="I79" i="3"/>
  <c r="J79" i="3"/>
  <c r="K79" i="3"/>
  <c r="L79" i="3"/>
  <c r="M79" i="3"/>
  <c r="N79" i="3"/>
  <c r="I80" i="3"/>
  <c r="J80" i="3"/>
  <c r="K80" i="3"/>
  <c r="L80" i="3"/>
  <c r="M80" i="3"/>
  <c r="N80" i="3"/>
  <c r="I81" i="3"/>
  <c r="J81" i="3"/>
  <c r="K81" i="3"/>
  <c r="L81" i="3"/>
  <c r="M81" i="3"/>
  <c r="N81" i="3"/>
  <c r="I82" i="3"/>
  <c r="J82" i="3"/>
  <c r="K82" i="3"/>
  <c r="L82" i="3"/>
  <c r="M82" i="3"/>
  <c r="N82" i="3"/>
  <c r="I83" i="3"/>
  <c r="J83" i="3"/>
  <c r="K83" i="3"/>
  <c r="L83" i="3"/>
  <c r="M83" i="3"/>
  <c r="N83" i="3"/>
  <c r="I84" i="3"/>
  <c r="J84" i="3"/>
  <c r="K84" i="3"/>
  <c r="L84" i="3"/>
  <c r="M84" i="3"/>
  <c r="N84" i="3"/>
  <c r="I85" i="3"/>
  <c r="J85" i="3"/>
  <c r="K85" i="3"/>
  <c r="L85" i="3"/>
  <c r="M85" i="3"/>
  <c r="N85" i="3"/>
  <c r="I86" i="3"/>
  <c r="J86" i="3"/>
  <c r="K86" i="3"/>
  <c r="L86" i="3"/>
  <c r="M86" i="3"/>
  <c r="N86" i="3"/>
  <c r="I87" i="3"/>
  <c r="J87" i="3"/>
  <c r="K87" i="3"/>
  <c r="L87" i="3"/>
  <c r="M87" i="3"/>
  <c r="N87" i="3"/>
  <c r="I88" i="3"/>
  <c r="J88" i="3"/>
  <c r="K88" i="3"/>
  <c r="L88" i="3"/>
  <c r="M88" i="3"/>
  <c r="N88" i="3"/>
  <c r="I89" i="3"/>
  <c r="J89" i="3"/>
  <c r="K89" i="3"/>
  <c r="L89" i="3"/>
  <c r="M89" i="3"/>
  <c r="N89" i="3"/>
  <c r="I90" i="3"/>
  <c r="J90" i="3"/>
  <c r="K90" i="3"/>
  <c r="L90" i="3"/>
  <c r="M90" i="3"/>
  <c r="N90" i="3"/>
  <c r="I91" i="3"/>
  <c r="J91" i="3"/>
  <c r="K91" i="3"/>
  <c r="L91" i="3"/>
  <c r="M91" i="3"/>
  <c r="N91" i="3"/>
  <c r="I92" i="3"/>
  <c r="J92" i="3"/>
  <c r="K92" i="3"/>
  <c r="L92" i="3"/>
  <c r="M92" i="3"/>
  <c r="N92"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33" i="3"/>
  <c r="I134" i="3"/>
  <c r="I135" i="3"/>
  <c r="I136" i="3"/>
  <c r="I137" i="3"/>
  <c r="I138" i="3"/>
  <c r="I139" i="3"/>
  <c r="I140" i="3"/>
  <c r="I141" i="3"/>
  <c r="I142" i="3"/>
  <c r="I143" i="3"/>
  <c r="I144" i="3"/>
  <c r="I145" i="3"/>
  <c r="I146" i="3"/>
  <c r="I147" i="3"/>
  <c r="I148" i="3"/>
  <c r="I149" i="3"/>
  <c r="I150" i="3"/>
  <c r="I151" i="3"/>
  <c r="I152" i="3"/>
  <c r="I153" i="3"/>
  <c r="I154" i="3"/>
  <c r="I155" i="3"/>
  <c r="I164" i="3"/>
  <c r="I165" i="3"/>
  <c r="I166" i="3"/>
  <c r="I167" i="3"/>
  <c r="I168" i="3"/>
  <c r="I169" i="3"/>
  <c r="I170" i="3"/>
  <c r="I171" i="3"/>
  <c r="I172" i="3"/>
  <c r="I173" i="3"/>
  <c r="I174" i="3"/>
  <c r="I175" i="3"/>
  <c r="I176" i="3"/>
  <c r="I177" i="3"/>
  <c r="I178" i="3"/>
  <c r="I179" i="3"/>
  <c r="I180" i="3"/>
  <c r="I181" i="3"/>
  <c r="I182" i="3"/>
  <c r="I183" i="3"/>
  <c r="I184" i="3"/>
  <c r="I185" i="3"/>
  <c r="I186"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G246" i="3"/>
  <c r="F253" i="3"/>
  <c r="G253" i="3"/>
  <c r="F254" i="3"/>
  <c r="G254" i="3"/>
  <c r="F255" i="3"/>
  <c r="G255" i="3"/>
  <c r="F256" i="3"/>
  <c r="G256" i="3"/>
  <c r="F257" i="3"/>
  <c r="G257" i="3"/>
  <c r="F258" i="3"/>
  <c r="G258" i="3"/>
  <c r="F259" i="3"/>
  <c r="G259" i="3"/>
  <c r="F260" i="3"/>
  <c r="G260" i="3"/>
  <c r="F261" i="3"/>
  <c r="G261" i="3"/>
  <c r="F262" i="3"/>
  <c r="G262" i="3"/>
  <c r="F263" i="3"/>
  <c r="G263" i="3"/>
  <c r="F264" i="3"/>
  <c r="G264" i="3"/>
  <c r="F265" i="3"/>
  <c r="G265" i="3"/>
  <c r="F266" i="3"/>
  <c r="G266" i="3"/>
  <c r="F267" i="3"/>
  <c r="G267" i="3"/>
  <c r="F268" i="3"/>
  <c r="G268" i="3"/>
  <c r="F269" i="3"/>
  <c r="G269" i="3"/>
  <c r="F270" i="3"/>
  <c r="G270" i="3"/>
  <c r="F271" i="3"/>
  <c r="G271" i="3"/>
  <c r="F272" i="3"/>
  <c r="G272" i="3"/>
  <c r="H13" i="2"/>
  <c r="H14" i="2"/>
  <c r="H19" i="2"/>
  <c r="J19" i="2"/>
  <c r="J18" i="2" s="1"/>
  <c r="H21" i="2"/>
  <c r="J21" i="2"/>
  <c r="H22" i="2"/>
  <c r="J22" i="2"/>
  <c r="H23" i="2"/>
  <c r="J23" i="2"/>
  <c r="H24" i="2"/>
  <c r="H25" i="2"/>
  <c r="H26" i="2"/>
  <c r="H27" i="2"/>
  <c r="P27" i="2"/>
  <c r="Q27" i="2"/>
  <c r="H28" i="2"/>
  <c r="H29" i="2"/>
  <c r="H30" i="2"/>
  <c r="H31" i="2"/>
  <c r="Q22" i="17" l="1"/>
  <c r="Q21" i="17"/>
  <c r="Q20" i="17"/>
  <c r="Q19" i="17"/>
  <c r="Z5" i="5"/>
  <c r="Y5" i="5"/>
  <c r="T5" i="5"/>
  <c r="X5" i="5"/>
  <c r="V5" i="5"/>
  <c r="W5" i="5"/>
  <c r="U5" i="5"/>
  <c r="M69" i="3"/>
  <c r="M68" i="3"/>
  <c r="M67" i="3"/>
  <c r="M66" i="3"/>
  <c r="M65" i="3"/>
  <c r="M64" i="3"/>
  <c r="M61" i="3"/>
  <c r="M5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78A37F-BA6E-4EB7-B054-D9FEC889BD49}" keepAlive="1" name="Query - Student Dataset" description="Connection to the 'Student Dataset' query in the workbook." type="5" refreshedVersion="8" background="1" saveData="1">
    <dbPr connection="Provider=Microsoft.Mashup.OleDb.1;Data Source=$Workbook$;Location=&quot;Student Dataset&quot;;Extended Properties=&quot;&quot;" command="SELECT * FROM [Student Dataset]"/>
  </connection>
  <connection id="2" xr16:uid="{0A9699FD-CE1C-48D3-A0F6-94A26334F5B4}" keepAlive="1" name="Query - Student Dataset (2)" description="Connection to the 'Student Dataset (2)' query in the workbook." type="5" refreshedVersion="8" background="1" saveData="1">
    <dbPr connection="Provider=Microsoft.Mashup.OleDb.1;Data Source=$Workbook$;Location=&quot;Student Dataset (2)&quot;;Extended Properties=&quot;&quot;" command="SELECT * FROM [Student Dataset (2)]"/>
  </connection>
</connections>
</file>

<file path=xl/sharedStrings.xml><?xml version="1.0" encoding="utf-8"?>
<sst xmlns="http://schemas.openxmlformats.org/spreadsheetml/2006/main" count="2455" uniqueCount="574">
  <si>
    <t>Source: Department of School Education and Literacy, Ministry of Education / Periodicity: Annual</t>
  </si>
  <si>
    <t>All India (Total)</t>
  </si>
  <si>
    <t>West Bengal</t>
  </si>
  <si>
    <t>Uttarakhand</t>
  </si>
  <si>
    <t>Uttar Pradesh</t>
  </si>
  <si>
    <t>Tripura</t>
  </si>
  <si>
    <t>Telangana</t>
  </si>
  <si>
    <t>Tamil Nadu</t>
  </si>
  <si>
    <t>Sikkim</t>
  </si>
  <si>
    <t>Rajasthan</t>
  </si>
  <si>
    <t>Punjab</t>
  </si>
  <si>
    <t>Puducherry</t>
  </si>
  <si>
    <t>Odisha</t>
  </si>
  <si>
    <t>Nagaland</t>
  </si>
  <si>
    <t>Mizoram</t>
  </si>
  <si>
    <t>State</t>
  </si>
  <si>
    <t>Primary</t>
  </si>
  <si>
    <t>Meghalaya</t>
  </si>
  <si>
    <t>column6</t>
  </si>
  <si>
    <t>column5</t>
  </si>
  <si>
    <t>column4</t>
  </si>
  <si>
    <t>column 3</t>
  </si>
  <si>
    <t>Column2</t>
  </si>
  <si>
    <t>Column1</t>
  </si>
  <si>
    <t>Manipur</t>
  </si>
  <si>
    <t>Maharashtra</t>
  </si>
  <si>
    <t>Madhya Pradesh</t>
  </si>
  <si>
    <t>Lakshadweep</t>
  </si>
  <si>
    <t>Kerala</t>
  </si>
  <si>
    <t>Karnataka</t>
  </si>
  <si>
    <t>Jharkhand</t>
  </si>
  <si>
    <t>Jammu and Kashmir</t>
  </si>
  <si>
    <t>Himachal Pradesh</t>
  </si>
  <si>
    <t>Haryana</t>
  </si>
  <si>
    <t>Gujarat</t>
  </si>
  <si>
    <t>Goa</t>
  </si>
  <si>
    <t>Delhi</t>
  </si>
  <si>
    <t>Daman and Diu</t>
  </si>
  <si>
    <t>Dadra and Nagar Haveli</t>
  </si>
  <si>
    <t>jain</t>
  </si>
  <si>
    <t xml:space="preserve">ram </t>
  </si>
  <si>
    <t>Chhattisgarh</t>
  </si>
  <si>
    <t xml:space="preserve">sharma </t>
  </si>
  <si>
    <t xml:space="preserve">aman </t>
  </si>
  <si>
    <t>Chandigarh</t>
  </si>
  <si>
    <t>Bihar</t>
  </si>
  <si>
    <t>Assam</t>
  </si>
  <si>
    <t>Arunachal Pradesh</t>
  </si>
  <si>
    <t>Andhra Pradesh</t>
  </si>
  <si>
    <t>Return to Index Page</t>
  </si>
  <si>
    <t>Andaman and Nicobar Islands</t>
  </si>
  <si>
    <t>Higher Secondary</t>
  </si>
  <si>
    <t>Secondary</t>
  </si>
  <si>
    <t>Elementary</t>
  </si>
  <si>
    <t>Upper Primary</t>
  </si>
  <si>
    <t>2015-16</t>
  </si>
  <si>
    <t>State/UT</t>
  </si>
  <si>
    <t>4.5.2: Enrolment ratio of children with disabilities</t>
  </si>
  <si>
    <t>Aryan Gupta</t>
  </si>
  <si>
    <t>Meera Joshi</t>
  </si>
  <si>
    <t>Kabir Jain</t>
  </si>
  <si>
    <t>Ishita Kapoor</t>
  </si>
  <si>
    <t>Dev Malhotra</t>
  </si>
  <si>
    <t>Kriti Mehta</t>
  </si>
  <si>
    <t>Arjun Singh</t>
  </si>
  <si>
    <t>Ritika Sharma</t>
  </si>
  <si>
    <t>Yash Verma</t>
  </si>
  <si>
    <t>Aanya Chauhan</t>
  </si>
  <si>
    <t>Simran Kaur</t>
  </si>
  <si>
    <t>Rahul Mehta</t>
  </si>
  <si>
    <t>Anjali Verma</t>
  </si>
  <si>
    <t>Mohit Jain</t>
  </si>
  <si>
    <t>Neha Kapoor</t>
  </si>
  <si>
    <t>Karan Patel</t>
  </si>
  <si>
    <t>Priya Singh</t>
  </si>
  <si>
    <t>Sneha Mehta</t>
  </si>
  <si>
    <t>Ravi Kumar</t>
  </si>
  <si>
    <t>Aman Sharma</t>
  </si>
  <si>
    <t>Rank</t>
  </si>
  <si>
    <t>Average</t>
  </si>
  <si>
    <t>Sem 4 CGPA</t>
  </si>
  <si>
    <t>Sem 3 CGPA</t>
  </si>
  <si>
    <t>Sem 2 CGPA</t>
  </si>
  <si>
    <t>Sem 1 CGPA</t>
  </si>
  <si>
    <t>Student Name</t>
  </si>
  <si>
    <t>8th</t>
  </si>
  <si>
    <t>10th</t>
  </si>
  <si>
    <t>9th</t>
  </si>
  <si>
    <t>Aman Verma</t>
  </si>
  <si>
    <t>Rahul Sharma</t>
  </si>
  <si>
    <t>Math Marks</t>
  </si>
  <si>
    <t>Class</t>
  </si>
  <si>
    <t>Roll No</t>
  </si>
  <si>
    <t>Grand Total</t>
  </si>
  <si>
    <t>Varun Desai</t>
  </si>
  <si>
    <t>sneha Mehta</t>
  </si>
  <si>
    <t>Sai Nair</t>
  </si>
  <si>
    <t>Sai Bhatia</t>
  </si>
  <si>
    <t>Ram Sharma</t>
  </si>
  <si>
    <t>Ram Mehta</t>
  </si>
  <si>
    <t>Rahul Dubey</t>
  </si>
  <si>
    <t>Rahul Chopra</t>
  </si>
  <si>
    <t>Rahul Bhuta</t>
  </si>
  <si>
    <t>Priya Mishra</t>
  </si>
  <si>
    <t>Nandini Mehta</t>
  </si>
  <si>
    <t>Nandini Gupta</t>
  </si>
  <si>
    <t>Mohammed Singh</t>
  </si>
  <si>
    <t>Krishna Bose</t>
  </si>
  <si>
    <t>Kavya Singh</t>
  </si>
  <si>
    <t>Ishaan Chauhan</t>
  </si>
  <si>
    <t>Harsh Mehta</t>
  </si>
  <si>
    <t>Ganesh Mehta</t>
  </si>
  <si>
    <t>Dhruv Dhawan</t>
  </si>
  <si>
    <t>Deepika Tiwari</t>
  </si>
  <si>
    <t>Ayaan Dhawan</t>
  </si>
  <si>
    <t>Aryan Tiwari</t>
  </si>
  <si>
    <t>Max of Total Marks</t>
  </si>
  <si>
    <t>Sum of Computer Science</t>
  </si>
  <si>
    <t>Sum of Social Studies</t>
  </si>
  <si>
    <t>Sum of Hindi</t>
  </si>
  <si>
    <t>Sum of English</t>
  </si>
  <si>
    <t>Sum of Science</t>
  </si>
  <si>
    <t>Sum of Mathematics</t>
  </si>
  <si>
    <t>Row Labels</t>
  </si>
  <si>
    <t>10A</t>
  </si>
  <si>
    <t>11A</t>
  </si>
  <si>
    <t>11B</t>
  </si>
  <si>
    <t>6B</t>
  </si>
  <si>
    <t>8B</t>
  </si>
  <si>
    <t>7A</t>
  </si>
  <si>
    <t>8A</t>
  </si>
  <si>
    <t>9A</t>
  </si>
  <si>
    <t>9B</t>
  </si>
  <si>
    <t>7B</t>
  </si>
  <si>
    <t>6A</t>
  </si>
  <si>
    <t>Total Marks</t>
  </si>
  <si>
    <t>Computer Science</t>
  </si>
  <si>
    <t>Social Studies</t>
  </si>
  <si>
    <t>Hindi</t>
  </si>
  <si>
    <t>English</t>
  </si>
  <si>
    <t>Science</t>
  </si>
  <si>
    <t>Mathematics</t>
  </si>
  <si>
    <t xml:space="preserve"> Creating PivotTables, 
rows/columns/values/filters areas, 
grouping, value settings (sum, avg, %), 
slicers </t>
  </si>
  <si>
    <t>Day-9</t>
  </si>
  <si>
    <t>Highlight rules, top/bottom rules, data bars, colour scales, icon sets, custom formula-based rules</t>
  </si>
  <si>
    <t>Day - 8</t>
  </si>
  <si>
    <t>Sort single/multi-column, custom sort order, AutoFilter, Advanced Filter, filter by colour/icon</t>
  </si>
  <si>
    <t>Day - 7</t>
  </si>
  <si>
    <t>Clean</t>
  </si>
  <si>
    <t>Removing duplicates, Find &amp; Replace, Flash Fill, Text-to-Columns, handling blanks, CLEAN &amp; SUBSTITUTE</t>
  </si>
  <si>
    <t>Day - 6</t>
  </si>
  <si>
    <t>Kavya Chauhan</t>
  </si>
  <si>
    <t>lower</t>
  </si>
  <si>
    <t>len</t>
  </si>
  <si>
    <t>Mid</t>
  </si>
  <si>
    <t>right</t>
  </si>
  <si>
    <t>left</t>
  </si>
  <si>
    <t xml:space="preserve">LEFT, RIGHT, MID, LEN, 
CONCATENATE, TEXT, TRIM, 
UPPER/LOWER, TODAY, NOW, 
DATEDIF, YEAR/MONTH/DAY </t>
  </si>
  <si>
    <t>Day 5</t>
  </si>
  <si>
    <t>Nested if</t>
  </si>
  <si>
    <t>or</t>
  </si>
  <si>
    <t>and</t>
  </si>
  <si>
    <t>Sumif</t>
  </si>
  <si>
    <t>ifs</t>
  </si>
  <si>
    <t>nested if formula</t>
  </si>
  <si>
    <t>if formula</t>
  </si>
  <si>
    <t>IF / Nested if / Ifs / SUMIF / Countif / Averageif / logical operators (And &amp; or)</t>
  </si>
  <si>
    <t>Day - 3</t>
  </si>
  <si>
    <t>Pen Drive</t>
  </si>
  <si>
    <t>DVD</t>
  </si>
  <si>
    <t>CD</t>
  </si>
  <si>
    <t>Speaker</t>
  </si>
  <si>
    <t>Mouse</t>
  </si>
  <si>
    <t>Printer</t>
  </si>
  <si>
    <t>HDD</t>
  </si>
  <si>
    <t>ROM</t>
  </si>
  <si>
    <t>RAM</t>
  </si>
  <si>
    <t>CPU</t>
  </si>
  <si>
    <t>Counta</t>
  </si>
  <si>
    <t>Count</t>
  </si>
  <si>
    <t>Max</t>
  </si>
  <si>
    <t>Min</t>
  </si>
  <si>
    <t>Sum</t>
  </si>
  <si>
    <t>Qty</t>
  </si>
  <si>
    <t>Amount</t>
  </si>
  <si>
    <t>Products</t>
  </si>
  <si>
    <t>Sum / average/min/max/count</t>
  </si>
  <si>
    <t>Day - 2</t>
  </si>
  <si>
    <t>Rate</t>
  </si>
  <si>
    <t>qty</t>
  </si>
  <si>
    <t>products</t>
  </si>
  <si>
    <t>if error formula</t>
  </si>
  <si>
    <t>sneha mehta</t>
  </si>
  <si>
    <t>computer science</t>
  </si>
  <si>
    <t>social science</t>
  </si>
  <si>
    <t>hindi</t>
  </si>
  <si>
    <t>english</t>
  </si>
  <si>
    <t>science</t>
  </si>
  <si>
    <t>Name</t>
  </si>
  <si>
    <t>Column5</t>
  </si>
  <si>
    <t>Column4</t>
  </si>
  <si>
    <t>Column3</t>
  </si>
  <si>
    <t>Hlookup</t>
  </si>
  <si>
    <t>Price</t>
  </si>
  <si>
    <t>Product Name</t>
  </si>
  <si>
    <t>Product ID</t>
  </si>
  <si>
    <t>Keybaord</t>
  </si>
  <si>
    <t>Monitor</t>
  </si>
  <si>
    <t>Laptop</t>
  </si>
  <si>
    <t>Grade</t>
  </si>
  <si>
    <t>Marks</t>
  </si>
  <si>
    <t>Higer secondary</t>
  </si>
  <si>
    <t>higher</t>
  </si>
  <si>
    <t xml:space="preserve">Upper </t>
  </si>
  <si>
    <t>Vlookup</t>
  </si>
  <si>
    <t>Day - 4 Vlookup</t>
  </si>
  <si>
    <t>2016-17</t>
  </si>
  <si>
    <t>Zaid Kumar</t>
  </si>
  <si>
    <t>Zaid Bose</t>
  </si>
  <si>
    <t>Vivaan Patel</t>
  </si>
  <si>
    <t>Vihaan Mehta</t>
  </si>
  <si>
    <t>Vihaan Chauhan</t>
  </si>
  <si>
    <t>Varun Mishra</t>
  </si>
  <si>
    <t>Varun Kumar</t>
  </si>
  <si>
    <t>Varun Bose</t>
  </si>
  <si>
    <t>Sneha Tiwari</t>
  </si>
  <si>
    <t>Sneha Sharma</t>
  </si>
  <si>
    <t>Sneha Mishra</t>
  </si>
  <si>
    <t>Sneha Kumar</t>
  </si>
  <si>
    <t>Sneha Joshi</t>
  </si>
  <si>
    <t>Shreya Dubey</t>
  </si>
  <si>
    <t>Shaurya Kapoor</t>
  </si>
  <si>
    <t>Shaurya Jain</t>
  </si>
  <si>
    <t>Sameer Yadav</t>
  </si>
  <si>
    <t>Sameer Nair</t>
  </si>
  <si>
    <t>Sameer Dhawan</t>
  </si>
  <si>
    <t>Sakshi Kumar</t>
  </si>
  <si>
    <t>Sakshi Jain</t>
  </si>
  <si>
    <t>Sakshi Chopra</t>
  </si>
  <si>
    <t>Sai Saxena</t>
  </si>
  <si>
    <t>Sai Chauhan</t>
  </si>
  <si>
    <t>Ruhi Saxena</t>
  </si>
  <si>
    <t>Ruhi Kapoor</t>
  </si>
  <si>
    <t>Ruhi Chopra</t>
  </si>
  <si>
    <t>Ruhi Chauhan</t>
  </si>
  <si>
    <t>Ruhi Bhatia</t>
  </si>
  <si>
    <t>Rohan Malhotra</t>
  </si>
  <si>
    <t>Riya Tiwari</t>
  </si>
  <si>
    <t>Riya Nair</t>
  </si>
  <si>
    <t>Riya Malhotra</t>
  </si>
  <si>
    <t>Ritvik Kumar</t>
  </si>
  <si>
    <t>Ritvik Chauhan</t>
  </si>
  <si>
    <t>Ritvik Bhatia</t>
  </si>
  <si>
    <t>Reyansh Saxena</t>
  </si>
  <si>
    <t>Reyansh Kapoor</t>
  </si>
  <si>
    <t>Reyansh Joshi</t>
  </si>
  <si>
    <t>Reyansh Bhatia</t>
  </si>
  <si>
    <t>Reyansh Arora</t>
  </si>
  <si>
    <t>Rahul Kumar</t>
  </si>
  <si>
    <t>Priya Yadav</t>
  </si>
  <si>
    <t>Priya Tiwari</t>
  </si>
  <si>
    <t>Pranav Shah</t>
  </si>
  <si>
    <t>Pranav Pandey</t>
  </si>
  <si>
    <t>Pooja Nair</t>
  </si>
  <si>
    <t>Nisha Singh</t>
  </si>
  <si>
    <t>Nisha Kapoor</t>
  </si>
  <si>
    <t>Nisha Arora</t>
  </si>
  <si>
    <t>Nikhil Saxena</t>
  </si>
  <si>
    <t>Nikhil Bhatia</t>
  </si>
  <si>
    <t>Navya Singh</t>
  </si>
  <si>
    <t>Navya Sharma</t>
  </si>
  <si>
    <t>Navya Iyer</t>
  </si>
  <si>
    <t>Nandini Iyer</t>
  </si>
  <si>
    <t>Nandini Chauhan</t>
  </si>
  <si>
    <t>Mohammed Shah</t>
  </si>
  <si>
    <t>Mohammed Chauhan</t>
  </si>
  <si>
    <t>Meera Srivastava</t>
  </si>
  <si>
    <t>Meera Desai</t>
  </si>
  <si>
    <t>Meera Chauhan</t>
  </si>
  <si>
    <t>Krishna Verma</t>
  </si>
  <si>
    <t>Krishna Kapoor</t>
  </si>
  <si>
    <t>Kiara Kapoor</t>
  </si>
  <si>
    <t>Kiara Bose</t>
  </si>
  <si>
    <t>Kavya Chopra</t>
  </si>
  <si>
    <t>Kabir Sharma</t>
  </si>
  <si>
    <t>Kabir Desai</t>
  </si>
  <si>
    <t>Ishita Patel</t>
  </si>
  <si>
    <t>Ishita Mishra</t>
  </si>
  <si>
    <t>Ishaan Shah</t>
  </si>
  <si>
    <t>Ishaan Kumar</t>
  </si>
  <si>
    <t>Imran Yadav</t>
  </si>
  <si>
    <t>Imran Saxena</t>
  </si>
  <si>
    <t>Imran Desai</t>
  </si>
  <si>
    <t>Imran Bhatia</t>
  </si>
  <si>
    <t>Faraz Tiwari</t>
  </si>
  <si>
    <t>Faraz Malhotra</t>
  </si>
  <si>
    <t>Diya Mishra</t>
  </si>
  <si>
    <t>Diya Dhawan</t>
  </si>
  <si>
    <t>Dhruv Verma</t>
  </si>
  <si>
    <t>Dhruv Shah</t>
  </si>
  <si>
    <t>Dhruv Kumar</t>
  </si>
  <si>
    <t>Deepika Yadav</t>
  </si>
  <si>
    <t>Deepika Agarwal</t>
  </si>
  <si>
    <t>Darsh Verma</t>
  </si>
  <si>
    <t>Darsh Pandey</t>
  </si>
  <si>
    <t>Darsh Malhotra</t>
  </si>
  <si>
    <t>Darsh Iyer</t>
  </si>
  <si>
    <t>Darsh Bose</t>
  </si>
  <si>
    <t>Ayaan Shah</t>
  </si>
  <si>
    <t>Ayaan Saxena</t>
  </si>
  <si>
    <t>Ayaan Mishra</t>
  </si>
  <si>
    <t>Ayaan Malhotra</t>
  </si>
  <si>
    <t>Ayaan Kumar</t>
  </si>
  <si>
    <t>Ayaan Joshi</t>
  </si>
  <si>
    <t>Atharva Nair</t>
  </si>
  <si>
    <t>Atharva Chauhan</t>
  </si>
  <si>
    <t>Aryan Pandey</t>
  </si>
  <si>
    <t>Aryan Kumar</t>
  </si>
  <si>
    <t>Aryan Joshi</t>
  </si>
  <si>
    <t>Aryan Dubey</t>
  </si>
  <si>
    <t>Arjun Pandey</t>
  </si>
  <si>
    <t>Arjun Jain</t>
  </si>
  <si>
    <t>Ananya Patel</t>
  </si>
  <si>
    <t>Ananya Dhawan</t>
  </si>
  <si>
    <t>Advik Singh</t>
  </si>
  <si>
    <t>Advik Nair</t>
  </si>
  <si>
    <t>Aditya Singh</t>
  </si>
  <si>
    <t>Aditya Joshi</t>
  </si>
  <si>
    <t>Aditya Bhatia</t>
  </si>
  <si>
    <t>Aditi Joshi</t>
  </si>
  <si>
    <t>Aarush Kumar</t>
  </si>
  <si>
    <t>Aarav Reddy</t>
  </si>
  <si>
    <t>Aanya Singh</t>
  </si>
  <si>
    <t>Aanya Reddy</t>
  </si>
  <si>
    <t>Aanya Jain</t>
  </si>
  <si>
    <t>Aanya Iyer</t>
  </si>
  <si>
    <t>STU147</t>
  </si>
  <si>
    <t>STU026</t>
  </si>
  <si>
    <t>STU017</t>
  </si>
  <si>
    <t>STU067</t>
  </si>
  <si>
    <t>STU136</t>
  </si>
  <si>
    <t>STU093</t>
  </si>
  <si>
    <t>STU140</t>
  </si>
  <si>
    <t>STU099</t>
  </si>
  <si>
    <t>STU020</t>
  </si>
  <si>
    <t>STU070</t>
  </si>
  <si>
    <t>STU090</t>
  </si>
  <si>
    <t>STU035</t>
  </si>
  <si>
    <t>STU129</t>
  </si>
  <si>
    <t>STU145</t>
  </si>
  <si>
    <t>10B</t>
  </si>
  <si>
    <t>STU131</t>
  </si>
  <si>
    <t>STU012</t>
  </si>
  <si>
    <t>STU132</t>
  </si>
  <si>
    <t>STU001</t>
  </si>
  <si>
    <t>STU144</t>
  </si>
  <si>
    <t>STU002</t>
  </si>
  <si>
    <t>STU111</t>
  </si>
  <si>
    <t>STU150</t>
  </si>
  <si>
    <t>STU047</t>
  </si>
  <si>
    <t>STU053</t>
  </si>
  <si>
    <t>STU030</t>
  </si>
  <si>
    <t>STU087</t>
  </si>
  <si>
    <t>STU045</t>
  </si>
  <si>
    <t>STU004</t>
  </si>
  <si>
    <t>STU009</t>
  </si>
  <si>
    <t>STU006</t>
  </si>
  <si>
    <t>STU084</t>
  </si>
  <si>
    <t>STU039</t>
  </si>
  <si>
    <t>STU032</t>
  </si>
  <si>
    <t>STU066</t>
  </si>
  <si>
    <t>STU027</t>
  </si>
  <si>
    <t>STU021</t>
  </si>
  <si>
    <t>STU130</t>
  </si>
  <si>
    <t>STU112</t>
  </si>
  <si>
    <t>STU125</t>
  </si>
  <si>
    <t>STU082</t>
  </si>
  <si>
    <t>STU118</t>
  </si>
  <si>
    <t>STU069</t>
  </si>
  <si>
    <t>STU059</t>
  </si>
  <si>
    <t>STU048</t>
  </si>
  <si>
    <t>STU064</t>
  </si>
  <si>
    <t>STU040</t>
  </si>
  <si>
    <t>STU024</t>
  </si>
  <si>
    <t>STU033</t>
  </si>
  <si>
    <t>STU031</t>
  </si>
  <si>
    <t>STU016</t>
  </si>
  <si>
    <t>STU081</t>
  </si>
  <si>
    <t>STU008</t>
  </si>
  <si>
    <t>STU110</t>
  </si>
  <si>
    <t>STU085</t>
  </si>
  <si>
    <t>STU141</t>
  </si>
  <si>
    <t>STU121</t>
  </si>
  <si>
    <t>STU079</t>
  </si>
  <si>
    <t>STU143</t>
  </si>
  <si>
    <t>STU055</t>
  </si>
  <si>
    <t>STU149</t>
  </si>
  <si>
    <t>STU036</t>
  </si>
  <si>
    <t>STU014</t>
  </si>
  <si>
    <t>STU029</t>
  </si>
  <si>
    <t>STU096</t>
  </si>
  <si>
    <t>STU077</t>
  </si>
  <si>
    <t>STU013</t>
  </si>
  <si>
    <t>STU103</t>
  </si>
  <si>
    <t>STU050</t>
  </si>
  <si>
    <t>STU089</t>
  </si>
  <si>
    <t>STU109</t>
  </si>
  <si>
    <t>STU063</t>
  </si>
  <si>
    <t>STU003</t>
  </si>
  <si>
    <t>STU119</t>
  </si>
  <si>
    <t>STU052</t>
  </si>
  <si>
    <t>STU041</t>
  </si>
  <si>
    <t>STU128</t>
  </si>
  <si>
    <t>STU107</t>
  </si>
  <si>
    <t>STU100</t>
  </si>
  <si>
    <t>STU042</t>
  </si>
  <si>
    <t>STU034</t>
  </si>
  <si>
    <t>STU123</t>
  </si>
  <si>
    <t>STU068</t>
  </si>
  <si>
    <t>STU018</t>
  </si>
  <si>
    <t>STU098</t>
  </si>
  <si>
    <t>STU102</t>
  </si>
  <si>
    <t>STU142</t>
  </si>
  <si>
    <t>STU005</t>
  </si>
  <si>
    <t>STU122</t>
  </si>
  <si>
    <t>STU134</t>
  </si>
  <si>
    <t>STU061</t>
  </si>
  <si>
    <t>STU116</t>
  </si>
  <si>
    <t>STU097</t>
  </si>
  <si>
    <t>STU080</t>
  </si>
  <si>
    <t>STU133</t>
  </si>
  <si>
    <t>STU076</t>
  </si>
  <si>
    <t>STU106</t>
  </si>
  <si>
    <t>STU044</t>
  </si>
  <si>
    <t>STU071</t>
  </si>
  <si>
    <t>STU075</t>
  </si>
  <si>
    <t>STU025</t>
  </si>
  <si>
    <t>STU007</t>
  </si>
  <si>
    <t>STU038</t>
  </si>
  <si>
    <t>STU043</t>
  </si>
  <si>
    <t>STU114</t>
  </si>
  <si>
    <t>STU139</t>
  </si>
  <si>
    <t>STU127</t>
  </si>
  <si>
    <t>STU117</t>
  </si>
  <si>
    <t>STU124</t>
  </si>
  <si>
    <t>STU088</t>
  </si>
  <si>
    <t>STU058</t>
  </si>
  <si>
    <t>STU049</t>
  </si>
  <si>
    <t>STU037</t>
  </si>
  <si>
    <t>STU092</t>
  </si>
  <si>
    <t>STU113</t>
  </si>
  <si>
    <t>STU095</t>
  </si>
  <si>
    <t>STU028</t>
  </si>
  <si>
    <t>STU072</t>
  </si>
  <si>
    <t>STU105</t>
  </si>
  <si>
    <t>STU108</t>
  </si>
  <si>
    <t>STU126</t>
  </si>
  <si>
    <t>STU011</t>
  </si>
  <si>
    <t>STU094</t>
  </si>
  <si>
    <t>STU022</t>
  </si>
  <si>
    <t>STU074</t>
  </si>
  <si>
    <t>STU135</t>
  </si>
  <si>
    <t>STU146</t>
  </si>
  <si>
    <t>STU120</t>
  </si>
  <si>
    <t>STU086</t>
  </si>
  <si>
    <t>STU091</t>
  </si>
  <si>
    <t>STU104</t>
  </si>
  <si>
    <t>STU065</t>
  </si>
  <si>
    <t>STU057</t>
  </si>
  <si>
    <t>STU062</t>
  </si>
  <si>
    <t>STU138</t>
  </si>
  <si>
    <t>STU115</t>
  </si>
  <si>
    <t>STU015</t>
  </si>
  <si>
    <t>STU010</t>
  </si>
  <si>
    <t>STU060</t>
  </si>
  <si>
    <t>STU023</t>
  </si>
  <si>
    <t>STU046</t>
  </si>
  <si>
    <t>STU019</t>
  </si>
  <si>
    <t>STU083</t>
  </si>
  <si>
    <t>STU073</t>
  </si>
  <si>
    <t>STU078</t>
  </si>
  <si>
    <t>STU056</t>
  </si>
  <si>
    <t>STU148</t>
  </si>
  <si>
    <t xml:space="preserve">Count if </t>
  </si>
  <si>
    <t>STU101</t>
  </si>
  <si>
    <t>STU054</t>
  </si>
  <si>
    <t>Sum 10B</t>
  </si>
  <si>
    <t>Sum 10A</t>
  </si>
  <si>
    <t>Sum 9B</t>
  </si>
  <si>
    <t>Sum 9A</t>
  </si>
  <si>
    <t>Sum 8B</t>
  </si>
  <si>
    <t>Sum 8A</t>
  </si>
  <si>
    <t>Sum 7B</t>
  </si>
  <si>
    <t>Sum 7A</t>
  </si>
  <si>
    <t>Sum 6B</t>
  </si>
  <si>
    <t>Sum 6A</t>
  </si>
  <si>
    <t xml:space="preserve">Section </t>
  </si>
  <si>
    <t>STU137</t>
  </si>
  <si>
    <t>Column11</t>
  </si>
  <si>
    <t>Column10</t>
  </si>
  <si>
    <t>Column9</t>
  </si>
  <si>
    <t>Column8</t>
  </si>
  <si>
    <t>Column7</t>
  </si>
  <si>
    <t>Column6</t>
  </si>
  <si>
    <t>STU051</t>
  </si>
  <si>
    <t>Percentage</t>
  </si>
  <si>
    <t>Obtained Marks</t>
  </si>
  <si>
    <t>Student ID</t>
  </si>
  <si>
    <t/>
  </si>
  <si>
    <t>Math</t>
  </si>
  <si>
    <t>Count of Primary</t>
  </si>
  <si>
    <t>Average of Higher Secondary</t>
  </si>
  <si>
    <t>Count of Secondary</t>
  </si>
  <si>
    <t>Count of Elementary</t>
  </si>
  <si>
    <t>Count of Upper Primary</t>
  </si>
  <si>
    <t>2017-18</t>
  </si>
  <si>
    <t>Sum of Primary</t>
  </si>
  <si>
    <t>Sum of Upper Primary</t>
  </si>
  <si>
    <t>Sum of Elementary</t>
  </si>
  <si>
    <t>Sum of Secondary</t>
  </si>
  <si>
    <t>Sum of Higher Secondary</t>
  </si>
  <si>
    <t>2018-19</t>
  </si>
  <si>
    <t>Source: Office of the Registrar General &amp; Census Commissioner, India, Ministry of Home Affairs / Periodicity: 10 Years</t>
  </si>
  <si>
    <t>Nct of Delhi</t>
  </si>
  <si>
    <t>Total</t>
  </si>
  <si>
    <t>Female</t>
  </si>
  <si>
    <t>Male</t>
  </si>
  <si>
    <t>4.6.1: Literacy rate of youth in the age group of 15-24 years</t>
  </si>
  <si>
    <t>All India</t>
  </si>
  <si>
    <t>Girls</t>
  </si>
  <si>
    <t>Boys</t>
  </si>
  <si>
    <t>Ramp</t>
  </si>
  <si>
    <t>Toilets</t>
  </si>
  <si>
    <t>(f) Basic hand washing facilities (as per the WASH indicator definitions)</t>
  </si>
  <si>
    <t>(e) Single-sex basic sanitation facilities</t>
  </si>
  <si>
    <t xml:space="preserve">(d) Basic drinking water
</t>
  </si>
  <si>
    <t>(c) Adapted infrastructure and materials for students with disabilities/disabled friendly ramp and toilets</t>
  </si>
  <si>
    <t>(b) Computers for pedagogical purposes</t>
  </si>
  <si>
    <t>(a) Electricity</t>
  </si>
  <si>
    <t>4.a.1: Proportion of schools with access to: (a) electricity; (b) computers for pedagogical purposes; (c) adapted infrastructure and materials for students with disabilities/ disabled friendly ramp and toilets; (d) basic drinking water; (e) single-sex basic sanitation facilities; and (f) basic hand washing facilities (as per the WASH indicator definitions)</t>
  </si>
  <si>
    <t>Jammu aand Kashmir</t>
  </si>
  <si>
    <t xml:space="preserve">All India </t>
  </si>
  <si>
    <t>NA</t>
  </si>
  <si>
    <t>Tamilnadu</t>
  </si>
  <si>
    <t>Orissa</t>
  </si>
  <si>
    <t>Kerla</t>
  </si>
  <si>
    <t>Jammu &amp; Kashmir</t>
  </si>
  <si>
    <t>Daman &amp; Diu</t>
  </si>
  <si>
    <t>Dadra &amp; Nagar Haveli</t>
  </si>
  <si>
    <t>Andaman &amp; Nicobar Islands</t>
  </si>
  <si>
    <t>4.c.1: Proportion of trained teachers, by education level (primary, upper primary, elementary, secondary and higher secondary education)</t>
  </si>
  <si>
    <t>GRADE</t>
  </si>
  <si>
    <t>A grade</t>
  </si>
  <si>
    <t xml:space="preserve">B grade </t>
  </si>
  <si>
    <t>C GRADE</t>
  </si>
  <si>
    <t>D GRADE</t>
  </si>
  <si>
    <t>Class Average</t>
  </si>
  <si>
    <t>Total Student</t>
  </si>
  <si>
    <t>M</t>
  </si>
  <si>
    <t>Day-11</t>
  </si>
  <si>
    <t>Dropdown lists, input messages, error alerts, protecting sheets, form controls (checkbox, spin button)</t>
  </si>
  <si>
    <t>&lt;</t>
  </si>
  <si>
    <t>goa</t>
  </si>
  <si>
    <t xml:space="preserve">Roll No </t>
  </si>
  <si>
    <t xml:space="preserve">Name </t>
  </si>
  <si>
    <t xml:space="preserve">Math </t>
  </si>
  <si>
    <t>Chemistry</t>
  </si>
  <si>
    <t>Vineet</t>
  </si>
  <si>
    <t>Harsh</t>
  </si>
  <si>
    <t>Hardik</t>
  </si>
  <si>
    <t>Ram</t>
  </si>
  <si>
    <t>Shiv</t>
  </si>
  <si>
    <t>Rahul</t>
  </si>
  <si>
    <t>Kiskor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</si>
</sst>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theme="1"/>
      <name val="Calibri"/>
      <family val="2"/>
      <scheme val="minor"/>
    </font>
    <font>
      <sz val="13"/>
      <color theme="1"/>
      <name val="Times New Roman"/>
      <family val="1"/>
    </font>
    <font>
      <sz val="13"/>
      <name val="Times New Roman"/>
      <family val="1"/>
    </font>
    <font>
      <u/>
      <sz val="11"/>
      <color theme="10"/>
      <name val="Calibri"/>
      <family val="2"/>
    </font>
    <font>
      <u/>
      <sz val="13"/>
      <color theme="10"/>
      <name val="Times New Roman"/>
      <family val="1"/>
    </font>
    <font>
      <b/>
      <i/>
      <sz val="14"/>
      <color theme="1"/>
      <name val="Calibri"/>
      <family val="2"/>
      <scheme val="minor"/>
    </font>
    <font>
      <b/>
      <i/>
      <sz val="16"/>
      <color theme="1"/>
      <name val="Calibri"/>
      <family val="2"/>
      <scheme val="minor"/>
    </font>
    <font>
      <b/>
      <i/>
      <sz val="11"/>
      <color theme="1"/>
      <name val="Calibri"/>
      <family val="2"/>
      <scheme val="minor"/>
    </font>
    <font>
      <sz val="14"/>
      <color theme="1"/>
      <name val="Calibri"/>
      <family val="2"/>
      <scheme val="minor"/>
    </font>
    <font>
      <b/>
      <sz val="13"/>
      <name val="Times New Roman"/>
      <family val="1"/>
    </font>
    <font>
      <sz val="12"/>
      <name val="Times New Roman"/>
      <family val="1"/>
    </font>
    <font>
      <sz val="8"/>
      <name val="Calibri"/>
      <family val="2"/>
      <scheme val="minor"/>
    </font>
    <font>
      <b/>
      <sz val="28"/>
      <color theme="3" tint="-0.249977111117893"/>
      <name val="Calibri"/>
      <family val="2"/>
      <scheme val="minor"/>
    </font>
    <font>
      <b/>
      <sz val="14"/>
      <color theme="1"/>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theme="2" tint="-9.9978637043366805E-2"/>
        <bgColor indexed="64"/>
      </patternFill>
    </fill>
  </fills>
  <borders count="18">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9" tint="0.39997558519241921"/>
      </top>
      <bottom style="thin">
        <color theme="9" tint="0.39997558519241921"/>
      </bottom>
      <diagonal/>
    </border>
    <border>
      <left style="thin">
        <color indexed="65"/>
      </left>
      <right style="thin">
        <color rgb="FF999999"/>
      </right>
      <top style="thin">
        <color indexed="65"/>
      </top>
      <bottom style="thin">
        <color rgb="FF999999"/>
      </bottom>
      <diagonal/>
    </border>
    <border>
      <left style="thin">
        <color indexed="65"/>
      </left>
      <right/>
      <top style="thin">
        <color indexed="65"/>
      </top>
      <bottom style="thin">
        <color rgb="FF999999"/>
      </bottom>
      <diagonal/>
    </border>
    <border>
      <left style="thin">
        <color rgb="FF999999"/>
      </left>
      <right/>
      <top style="thin">
        <color indexed="65"/>
      </top>
      <bottom style="thin">
        <color rgb="FF999999"/>
      </bottom>
      <diagonal/>
    </border>
    <border>
      <left style="thin">
        <color indexed="65"/>
      </left>
      <right style="thin">
        <color rgb="FF999999"/>
      </right>
      <top style="thin">
        <color indexed="65"/>
      </top>
      <bottom/>
      <diagonal/>
    </border>
    <border>
      <left style="thin">
        <color indexed="65"/>
      </left>
      <right/>
      <top style="thin">
        <color indexed="65"/>
      </top>
      <bottom/>
      <diagonal/>
    </border>
    <border>
      <left style="thin">
        <color rgb="FF999999"/>
      </left>
      <right/>
      <top style="thin">
        <color indexed="65"/>
      </top>
      <bottom/>
      <diagonal/>
    </border>
    <border>
      <left style="thin">
        <color indexed="65"/>
      </left>
      <right style="thin">
        <color rgb="FF999999"/>
      </right>
      <top style="thin">
        <color rgb="FF999999"/>
      </top>
      <bottom/>
      <diagonal/>
    </border>
    <border>
      <left style="thin">
        <color indexed="65"/>
      </left>
      <right/>
      <top style="thin">
        <color rgb="FF999999"/>
      </top>
      <bottom/>
      <diagonal/>
    </border>
    <border>
      <left style="thin">
        <color rgb="FF999999"/>
      </left>
      <right/>
      <top style="thin">
        <color rgb="FF999999"/>
      </top>
      <bottom/>
      <diagonal/>
    </border>
    <border>
      <left style="thin">
        <color indexed="64"/>
      </left>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79">
    <xf numFmtId="0" fontId="0" fillId="0" borderId="0" xfId="0"/>
    <xf numFmtId="0" fontId="3" fillId="0" borderId="0" xfId="0" applyFont="1"/>
    <xf numFmtId="2" fontId="3" fillId="0" borderId="4" xfId="0" applyNumberFormat="1" applyFont="1" applyBorder="1" applyAlignment="1">
      <alignment horizontal="center" vertical="center" wrapText="1"/>
    </xf>
    <xf numFmtId="0" fontId="4" fillId="0" borderId="4" xfId="0" applyFont="1" applyBorder="1" applyAlignment="1">
      <alignment horizontal="left" vertical="center"/>
    </xf>
    <xf numFmtId="0" fontId="4" fillId="0" borderId="4" xfId="0" applyFont="1" applyBorder="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0" fillId="0" borderId="0" xfId="0" applyAlignment="1">
      <alignment horizontal="left"/>
    </xf>
    <xf numFmtId="0" fontId="0" fillId="0" borderId="0" xfId="0" pivotButton="1"/>
    <xf numFmtId="0" fontId="0" fillId="2" borderId="0" xfId="0" applyFill="1"/>
    <xf numFmtId="0" fontId="0" fillId="2" borderId="7" xfId="0" applyFill="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1" fillId="3" borderId="0" xfId="0" applyFont="1" applyFill="1"/>
    <xf numFmtId="0" fontId="1" fillId="3" borderId="7" xfId="0" applyFont="1" applyFill="1" applyBorder="1"/>
    <xf numFmtId="0" fontId="0" fillId="0" borderId="0" xfId="0" applyAlignment="1">
      <alignment horizontal="center" wrapText="1"/>
    </xf>
    <xf numFmtId="0" fontId="0" fillId="0" borderId="0" xfId="0" applyAlignment="1">
      <alignment horizontal="center"/>
    </xf>
    <xf numFmtId="0" fontId="7" fillId="0" borderId="0" xfId="0" applyFont="1"/>
    <xf numFmtId="0" fontId="7" fillId="0" borderId="0" xfId="0" applyFont="1" applyAlignment="1">
      <alignment horizontal="center"/>
    </xf>
    <xf numFmtId="0" fontId="5" fillId="0" borderId="0" xfId="1" applyAlignment="1" applyProtection="1"/>
    <xf numFmtId="0" fontId="8" fillId="0" borderId="0" xfId="0" applyFont="1" applyAlignment="1">
      <alignment horizontal="center" vertical="center"/>
    </xf>
    <xf numFmtId="0" fontId="8" fillId="0" borderId="0" xfId="0" applyFont="1" applyAlignment="1">
      <alignment horizontal="center"/>
    </xf>
    <xf numFmtId="49" fontId="0" fillId="0" borderId="0" xfId="0" applyNumberFormat="1"/>
    <xf numFmtId="0" fontId="7" fillId="0" borderId="0" xfId="0" applyFont="1" applyAlignment="1">
      <alignment horizontal="center" wrapText="1"/>
    </xf>
    <xf numFmtId="0" fontId="9" fillId="0" borderId="0" xfId="0" applyFont="1"/>
    <xf numFmtId="0" fontId="10" fillId="0" borderId="0" xfId="0" applyFont="1"/>
    <xf numFmtId="2" fontId="0" fillId="0" borderId="0" xfId="0" applyNumberFormat="1"/>
    <xf numFmtId="0" fontId="4" fillId="0" borderId="0" xfId="0" applyFont="1"/>
    <xf numFmtId="2" fontId="4" fillId="0" borderId="0" xfId="0" applyNumberFormat="1" applyFont="1"/>
    <xf numFmtId="2" fontId="12" fillId="0" borderId="4" xfId="0" applyNumberFormat="1" applyFont="1" applyBorder="1" applyAlignment="1">
      <alignment horizontal="center" vertical="center" wrapText="1"/>
    </xf>
    <xf numFmtId="2" fontId="12" fillId="0" borderId="4" xfId="0" applyNumberFormat="1" applyFont="1" applyBorder="1" applyAlignment="1">
      <alignment horizontal="center" vertical="center"/>
    </xf>
    <xf numFmtId="0" fontId="12" fillId="0" borderId="4" xfId="0" applyFont="1" applyBorder="1" applyAlignment="1">
      <alignment horizontal="left" vertical="center" wrapText="1"/>
    </xf>
    <xf numFmtId="0" fontId="12" fillId="0" borderId="4" xfId="0" applyFont="1" applyBorder="1" applyAlignment="1">
      <alignment horizontal="center" vertical="center" wrapText="1"/>
    </xf>
    <xf numFmtId="0" fontId="3" fillId="0" borderId="0" xfId="0" applyFont="1" applyAlignment="1">
      <alignment horizontal="left"/>
    </xf>
    <xf numFmtId="0" fontId="3" fillId="0" borderId="0" xfId="0" applyFont="1" applyAlignment="1">
      <alignment horizontal="center" vertical="center"/>
    </xf>
    <xf numFmtId="2" fontId="3" fillId="0" borderId="4" xfId="0" applyNumberFormat="1" applyFont="1" applyBorder="1" applyAlignment="1">
      <alignment horizontal="center" vertical="center"/>
    </xf>
    <xf numFmtId="0" fontId="3" fillId="0" borderId="4" xfId="0" applyFont="1" applyBorder="1"/>
    <xf numFmtId="0" fontId="3" fillId="0" borderId="0" xfId="0" applyFont="1" applyAlignment="1">
      <alignment vertical="center" wrapText="1"/>
    </xf>
    <xf numFmtId="0" fontId="3" fillId="0" borderId="4" xfId="0" applyFont="1" applyBorder="1" applyAlignment="1">
      <alignment horizontal="center" vertical="center" wrapText="1"/>
    </xf>
    <xf numFmtId="0" fontId="14" fillId="4" borderId="0" xfId="0" applyFont="1" applyFill="1" applyAlignment="1">
      <alignment horizontal="center" vertical="center"/>
    </xf>
    <xf numFmtId="0" fontId="15" fillId="0" borderId="0" xfId="0" applyFont="1" applyAlignment="1">
      <alignment horizontal="center" vertical="center" wrapText="1"/>
    </xf>
    <xf numFmtId="0" fontId="12" fillId="0" borderId="4" xfId="0" applyFont="1" applyBorder="1" applyAlignment="1">
      <alignment horizontal="center" vertical="center" wrapText="1"/>
    </xf>
    <xf numFmtId="0" fontId="6" fillId="0" borderId="17" xfId="1" applyFont="1" applyFill="1" applyBorder="1" applyAlignment="1" applyProtection="1">
      <alignment horizontal="center"/>
    </xf>
    <xf numFmtId="0" fontId="6" fillId="0" borderId="0" xfId="1" applyFont="1" applyFill="1" applyAlignment="1" applyProtection="1">
      <alignment horizontal="center"/>
    </xf>
    <xf numFmtId="0" fontId="4" fillId="0" borderId="4" xfId="0" applyFont="1" applyBorder="1" applyAlignment="1">
      <alignment horizontal="left"/>
    </xf>
    <xf numFmtId="0" fontId="6" fillId="0" borderId="17" xfId="1" applyFont="1" applyFill="1" applyBorder="1" applyAlignment="1" applyProtection="1">
      <alignment horizontal="center" vertical="center"/>
    </xf>
    <xf numFmtId="0" fontId="6" fillId="0" borderId="0" xfId="1" applyFont="1" applyFill="1" applyBorder="1" applyAlignment="1" applyProtection="1">
      <alignment horizontal="center" vertical="center"/>
    </xf>
    <xf numFmtId="0" fontId="3" fillId="0" borderId="4" xfId="0" applyFont="1" applyBorder="1" applyAlignment="1">
      <alignment horizontal="left" vertical="center"/>
    </xf>
    <xf numFmtId="0" fontId="3" fillId="0" borderId="4" xfId="0" applyFont="1" applyBorder="1" applyAlignment="1">
      <alignment horizontal="center" vertical="center"/>
    </xf>
    <xf numFmtId="0" fontId="3" fillId="0" borderId="4" xfId="0" applyFont="1" applyBorder="1" applyAlignment="1">
      <alignment horizontal="left"/>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left" vertical="center" wrapText="1"/>
    </xf>
    <xf numFmtId="0" fontId="11" fillId="0" borderId="4" xfId="0" applyFont="1" applyBorder="1" applyAlignment="1">
      <alignment horizontal="left" vertical="center" wrapText="1"/>
    </xf>
    <xf numFmtId="0" fontId="11" fillId="0" borderId="4" xfId="0" applyFont="1" applyBorder="1" applyAlignment="1">
      <alignment horizontal="left" vertical="center"/>
    </xf>
    <xf numFmtId="0" fontId="4" fillId="0" borderId="4" xfId="0" applyFont="1" applyBorder="1" applyAlignment="1">
      <alignment horizontal="left" vertical="center"/>
    </xf>
    <xf numFmtId="0" fontId="4" fillId="0" borderId="4" xfId="0" applyFont="1" applyBorder="1" applyAlignment="1">
      <alignment horizontal="center" vertical="center" wrapText="1"/>
    </xf>
    <xf numFmtId="0" fontId="6" fillId="0" borderId="0" xfId="1" applyFont="1" applyAlignment="1" applyProtection="1">
      <alignment horizontal="center"/>
    </xf>
    <xf numFmtId="0" fontId="3" fillId="0" borderId="3" xfId="0"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vertical="center"/>
    </xf>
    <xf numFmtId="0" fontId="4" fillId="0" borderId="4" xfId="0" applyFont="1" applyBorder="1" applyAlignment="1">
      <alignment horizontal="center" vertic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left" vertical="center"/>
    </xf>
    <xf numFmtId="0" fontId="4" fillId="0" borderId="5" xfId="0" applyFont="1" applyBorder="1" applyAlignment="1">
      <alignment horizontal="left"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cellXfs>
  <cellStyles count="2">
    <cellStyle name="Hyperlink" xfId="1" builtinId="8"/>
    <cellStyle name="Normal" xfId="0" builtinId="0"/>
  </cellStyles>
  <dxfs count="4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numFmt numFmtId="0" formatCode="General"/>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b val="0"/>
        <i val="0"/>
        <strike val="0"/>
        <condense val="0"/>
        <extend val="0"/>
        <outline val="0"/>
        <shadow val="0"/>
        <u val="none"/>
        <vertAlign val="baseline"/>
        <sz val="13"/>
        <color theme="1"/>
        <name val="Times New Roman"/>
        <family val="1"/>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'NIF 4.c.1'!$A$32:$D$32</c:f>
              <c:strCache>
                <c:ptCount val="4"/>
                <c:pt idx="0">
                  <c:v>Rajasthan</c:v>
                </c:pt>
                <c:pt idx="1">
                  <c:v>86.97</c:v>
                </c:pt>
                <c:pt idx="2">
                  <c:v>90.07</c:v>
                </c:pt>
                <c:pt idx="3">
                  <c:v>92.17</c:v>
                </c:pt>
              </c:strCache>
            </c:strRef>
          </c:tx>
          <c:spPr>
            <a:solidFill>
              <a:schemeClr val="accent1"/>
            </a:solidFill>
            <a:ln>
              <a:noFill/>
            </a:ln>
            <a:effectLst/>
            <a:sp3d/>
          </c:spPr>
          <c:invertIfNegative val="0"/>
          <c:cat>
            <c:numRef>
              <c:f>'NIF 4.c.1'!$E$23:$E$31</c:f>
              <c:numCache>
                <c:formatCode>0.00</c:formatCode>
                <c:ptCount val="9"/>
                <c:pt idx="0">
                  <c:v>47.62</c:v>
                </c:pt>
                <c:pt idx="1">
                  <c:v>98.29</c:v>
                </c:pt>
                <c:pt idx="2">
                  <c:v>42.63</c:v>
                </c:pt>
                <c:pt idx="3">
                  <c:v>26.28</c:v>
                </c:pt>
                <c:pt idx="4">
                  <c:v>49.22</c:v>
                </c:pt>
                <c:pt idx="5">
                  <c:v>14.12</c:v>
                </c:pt>
                <c:pt idx="6">
                  <c:v>31.51</c:v>
                </c:pt>
                <c:pt idx="7">
                  <c:v>100</c:v>
                </c:pt>
                <c:pt idx="8">
                  <c:v>81.27</c:v>
                </c:pt>
              </c:numCache>
            </c:numRef>
          </c:cat>
          <c:val>
            <c:numRef>
              <c:f>'NIF 4.c.1'!$E$32</c:f>
              <c:numCache>
                <c:formatCode>0.00</c:formatCode>
                <c:ptCount val="1"/>
                <c:pt idx="0">
                  <c:v>0</c:v>
                </c:pt>
              </c:numCache>
            </c:numRef>
          </c:val>
          <c:extLst>
            <c:ext xmlns:c16="http://schemas.microsoft.com/office/drawing/2014/chart" uri="{C3380CC4-5D6E-409C-BE32-E72D297353CC}">
              <c16:uniqueId val="{00000000-26ED-412F-898A-972ACA8AE47B}"/>
            </c:ext>
          </c:extLst>
        </c:ser>
        <c:dLbls>
          <c:showLegendKey val="0"/>
          <c:showVal val="0"/>
          <c:showCatName val="0"/>
          <c:showSerName val="0"/>
          <c:showPercent val="0"/>
          <c:showBubbleSize val="0"/>
        </c:dLbls>
        <c:gapWidth val="150"/>
        <c:shape val="box"/>
        <c:axId val="1452406335"/>
        <c:axId val="1452411135"/>
        <c:axId val="0"/>
      </c:bar3DChart>
      <c:catAx>
        <c:axId val="14524063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411135"/>
        <c:crosses val="autoZero"/>
        <c:auto val="1"/>
        <c:lblAlgn val="ctr"/>
        <c:lblOffset val="100"/>
        <c:noMultiLvlLbl val="0"/>
      </c:catAx>
      <c:valAx>
        <c:axId val="1452411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4063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94930008748907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'NIF 4.a.1 - 2018-19'!$B$1:$B$4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(a) Electricity</c:v>
                </c:pt>
              </c:strCache>
            </c:strRef>
          </c:tx>
          <c:spPr>
            <a:solidFill>
              <a:schemeClr val="accent1"/>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4.a.1 - 2018-19'!$B$5:$B$42</c15:sqref>
                  </c15:fullRef>
                </c:ext>
              </c:extLst>
              <c:f>('NIF 4.a.1 - 2018-19'!$B$9,'NIF 4.a.1 - 2018-19'!$B$14,'NIF 4.a.1 - 2018-19'!$B$24,'NIF 4.a.1 - 2018-19'!$B$33)</c:f>
              <c:numCache>
                <c:formatCode>0.00</c:formatCode>
                <c:ptCount val="4"/>
                <c:pt idx="0">
                  <c:v>77.745897964673176</c:v>
                </c:pt>
                <c:pt idx="1">
                  <c:v>100</c:v>
                </c:pt>
                <c:pt idx="2">
                  <c:v>55.214066881296084</c:v>
                </c:pt>
                <c:pt idx="3">
                  <c:v>71.266397816457797</c:v>
                </c:pt>
              </c:numCache>
            </c:numRef>
          </c:val>
          <c:extLst>
            <c:ext xmlns:c16="http://schemas.microsoft.com/office/drawing/2014/chart" uri="{C3380CC4-5D6E-409C-BE32-E72D297353CC}">
              <c16:uniqueId val="{00000000-D675-4684-BF13-31A4786E08F4}"/>
            </c:ext>
          </c:extLst>
        </c:ser>
        <c:ser>
          <c:idx val="1"/>
          <c:order val="1"/>
          <c:tx>
            <c:strRef>
              <c:f>'NIF 4.a.1 - 2018-19'!$C$1:$C$4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(b) Computers for pedagogical purposes</c:v>
                </c:pt>
              </c:strCache>
            </c:strRef>
          </c:tx>
          <c:spPr>
            <a:solidFill>
              <a:schemeClr val="accent2"/>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4.a.1 - 2018-19'!$C$5:$C$42</c15:sqref>
                  </c15:fullRef>
                </c:ext>
              </c:extLst>
              <c:f>('NIF 4.a.1 - 2018-19'!$C$9,'NIF 4.a.1 - 2018-19'!$C$14,'NIF 4.a.1 - 2018-19'!$C$24,'NIF 4.a.1 - 2018-19'!$C$33)</c:f>
              <c:numCache>
                <c:formatCode>0.00</c:formatCode>
                <c:ptCount val="4"/>
                <c:pt idx="0">
                  <c:v>11.07549538240832</c:v>
                </c:pt>
                <c:pt idx="1">
                  <c:v>92.425039452919506</c:v>
                </c:pt>
                <c:pt idx="2">
                  <c:v>6.5758386125246648</c:v>
                </c:pt>
                <c:pt idx="3">
                  <c:v>44.447172822832748</c:v>
                </c:pt>
              </c:numCache>
            </c:numRef>
          </c:val>
          <c:extLst>
            <c:ext xmlns:c16="http://schemas.microsoft.com/office/drawing/2014/chart" uri="{C3380CC4-5D6E-409C-BE32-E72D297353CC}">
              <c16:uniqueId val="{00000001-D675-4684-BF13-31A4786E08F4}"/>
            </c:ext>
          </c:extLst>
        </c:ser>
        <c:ser>
          <c:idx val="2"/>
          <c:order val="2"/>
          <c:tx>
            <c:strRef>
              <c:f>'NIF 4.a.1 - 2018-19'!$D$1:$D$4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(c) Adapted infrastructure and materials for students with disabilities/disabled friendly ramp and toilets</c:v>
                </c:pt>
                <c:pt idx="3">
                  <c:v>Toilets</c:v>
                </c:pt>
              </c:strCache>
            </c:strRef>
          </c:tx>
          <c:spPr>
            <a:solidFill>
              <a:schemeClr val="accent3"/>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4.a.1 - 2018-19'!$D$5:$D$42</c15:sqref>
                  </c15:fullRef>
                </c:ext>
              </c:extLst>
              <c:f>('NIF 4.a.1 - 2018-19'!$D$9,'NIF 4.a.1 - 2018-19'!$D$14,'NIF 4.a.1 - 2018-19'!$D$24,'NIF 4.a.1 - 2018-19'!$D$33)</c:f>
              <c:numCache>
                <c:formatCode>0.00</c:formatCode>
                <c:ptCount val="4"/>
                <c:pt idx="0">
                  <c:v>10.692190442033533</c:v>
                </c:pt>
                <c:pt idx="1">
                  <c:v>87.866035419954414</c:v>
                </c:pt>
                <c:pt idx="2">
                  <c:v>1.3332121715650638</c:v>
                </c:pt>
                <c:pt idx="3">
                  <c:v>17.302116487065913</c:v>
                </c:pt>
              </c:numCache>
            </c:numRef>
          </c:val>
          <c:extLst>
            <c:ext xmlns:c16="http://schemas.microsoft.com/office/drawing/2014/chart" uri="{C3380CC4-5D6E-409C-BE32-E72D297353CC}">
              <c16:uniqueId val="{00000002-D675-4684-BF13-31A4786E08F4}"/>
            </c:ext>
          </c:extLst>
        </c:ser>
        <c:ser>
          <c:idx val="3"/>
          <c:order val="3"/>
          <c:tx>
            <c:strRef>
              <c:f>'NIF 4.a.1 - 2018-19'!$E$1:$E$4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(c) Adapted infrastructure and materials for students with disabilities/disabled friendly ramp and toilets</c:v>
                </c:pt>
                <c:pt idx="3">
                  <c:v>Ramp</c:v>
                </c:pt>
              </c:strCache>
            </c:strRef>
          </c:tx>
          <c:spPr>
            <a:solidFill>
              <a:schemeClr val="accent4"/>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4.a.1 - 2018-19'!$E$5:$E$42</c15:sqref>
                  </c15:fullRef>
                </c:ext>
              </c:extLst>
              <c:f>('NIF 4.a.1 - 2018-19'!$E$9,'NIF 4.a.1 - 2018-19'!$E$14,'NIF 4.a.1 - 2018-19'!$E$24,'NIF 4.a.1 - 2018-19'!$E$33)</c:f>
              <c:numCache>
                <c:formatCode>0.00</c:formatCode>
                <c:ptCount val="4"/>
                <c:pt idx="0">
                  <c:v>70.25800233121133</c:v>
                </c:pt>
                <c:pt idx="1">
                  <c:v>74.346834999123274</c:v>
                </c:pt>
                <c:pt idx="2">
                  <c:v>74.258100529650022</c:v>
                </c:pt>
                <c:pt idx="3">
                  <c:v>56.393377596025807</c:v>
                </c:pt>
              </c:numCache>
            </c:numRef>
          </c:val>
          <c:extLst>
            <c:ext xmlns:c16="http://schemas.microsoft.com/office/drawing/2014/chart" uri="{C3380CC4-5D6E-409C-BE32-E72D297353CC}">
              <c16:uniqueId val="{00000003-D675-4684-BF13-31A4786E08F4}"/>
            </c:ext>
          </c:extLst>
        </c:ser>
        <c:ser>
          <c:idx val="4"/>
          <c:order val="4"/>
          <c:tx>
            <c:strRef>
              <c:f>'NIF 4.a.1 - 2018-19'!$F$1:$F$4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(d) Basic drinking water
</c:v>
                </c:pt>
                <c:pt idx="3">
                  <c:v>Ramp</c:v>
                </c:pt>
              </c:strCache>
            </c:strRef>
          </c:tx>
          <c:spPr>
            <a:solidFill>
              <a:schemeClr val="accent5"/>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4.a.1 - 2018-19'!$F$5:$F$42</c15:sqref>
                  </c15:fullRef>
                </c:ext>
              </c:extLst>
              <c:f>('NIF 4.a.1 - 2018-19'!$F$9,'NIF 4.a.1 - 2018-19'!$F$14,'NIF 4.a.1 - 2018-19'!$F$24,'NIF 4.a.1 - 2018-19'!$F$33)</c:f>
              <c:numCache>
                <c:formatCode>0.00</c:formatCode>
                <c:ptCount val="4"/>
                <c:pt idx="0">
                  <c:v>99.560656325652289</c:v>
                </c:pt>
                <c:pt idx="1">
                  <c:v>100</c:v>
                </c:pt>
                <c:pt idx="2">
                  <c:v>95.380491224426208</c:v>
                </c:pt>
                <c:pt idx="3">
                  <c:v>95.203195980469019</c:v>
                </c:pt>
              </c:numCache>
            </c:numRef>
          </c:val>
          <c:extLst>
            <c:ext xmlns:c16="http://schemas.microsoft.com/office/drawing/2014/chart" uri="{C3380CC4-5D6E-409C-BE32-E72D297353CC}">
              <c16:uniqueId val="{00000004-D675-4684-BF13-31A4786E08F4}"/>
            </c:ext>
          </c:extLst>
        </c:ser>
        <c:ser>
          <c:idx val="5"/>
          <c:order val="5"/>
          <c:tx>
            <c:strRef>
              <c:f>'NIF 4.a.1 - 2018-19'!$G$1:$G$4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(e) Single-sex basic sanitation facilities</c:v>
                </c:pt>
                <c:pt idx="3">
                  <c:v>Boys</c:v>
                </c:pt>
              </c:strCache>
            </c:strRef>
          </c:tx>
          <c:spPr>
            <a:solidFill>
              <a:schemeClr val="accent6"/>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4.a.1 - 2018-19'!$G$5:$G$42</c15:sqref>
                  </c15:fullRef>
                </c:ext>
              </c:extLst>
              <c:f>('NIF 4.a.1 - 2018-19'!$G$9,'NIF 4.a.1 - 2018-19'!$G$14,'NIF 4.a.1 - 2018-19'!$G$24,'NIF 4.a.1 - 2018-19'!$G$33)</c:f>
              <c:numCache>
                <c:formatCode>0.00</c:formatCode>
                <c:ptCount val="4"/>
                <c:pt idx="0">
                  <c:v>96.89097103918229</c:v>
                </c:pt>
                <c:pt idx="1">
                  <c:v>87.269857969489735</c:v>
                </c:pt>
                <c:pt idx="2">
                  <c:v>94.889786062934888</c:v>
                </c:pt>
                <c:pt idx="3">
                  <c:v>89.567730419425217</c:v>
                </c:pt>
              </c:numCache>
            </c:numRef>
          </c:val>
          <c:extLst>
            <c:ext xmlns:c16="http://schemas.microsoft.com/office/drawing/2014/chart" uri="{C3380CC4-5D6E-409C-BE32-E72D297353CC}">
              <c16:uniqueId val="{00000005-D675-4684-BF13-31A4786E08F4}"/>
            </c:ext>
          </c:extLst>
        </c:ser>
        <c:ser>
          <c:idx val="6"/>
          <c:order val="6"/>
          <c:tx>
            <c:strRef>
              <c:f>'NIF 4.a.1 - 2018-19'!$H$1:$H$4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(e) Single-sex basic sanitation facilities</c:v>
                </c:pt>
                <c:pt idx="3">
                  <c:v>Girls</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4.a.1 - 2018-19'!$H$5:$H$42</c15:sqref>
                  </c15:fullRef>
                </c:ext>
              </c:extLst>
              <c:f>('NIF 4.a.1 - 2018-19'!$H$9,'NIF 4.a.1 - 2018-19'!$H$14,'NIF 4.a.1 - 2018-19'!$H$24,'NIF 4.a.1 - 2018-19'!$H$33)</c:f>
              <c:numCache>
                <c:formatCode>0.00</c:formatCode>
                <c:ptCount val="4"/>
                <c:pt idx="0">
                  <c:v>97.678875638841561</c:v>
                </c:pt>
                <c:pt idx="1">
                  <c:v>83.131685078029108</c:v>
                </c:pt>
                <c:pt idx="2">
                  <c:v>96.027624883165444</c:v>
                </c:pt>
                <c:pt idx="3">
                  <c:v>90.418669663685392</c:v>
                </c:pt>
              </c:numCache>
            </c:numRef>
          </c:val>
          <c:extLst>
            <c:ext xmlns:c16="http://schemas.microsoft.com/office/drawing/2014/chart" uri="{C3380CC4-5D6E-409C-BE32-E72D297353CC}">
              <c16:uniqueId val="{00000006-D675-4684-BF13-31A4786E08F4}"/>
            </c:ext>
          </c:extLst>
        </c:ser>
        <c:ser>
          <c:idx val="7"/>
          <c:order val="7"/>
          <c:tx>
            <c:strRef>
              <c:f>'NIF 4.a.1 - 2018-19'!$I$1:$I$4</c:f>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'NIF 4.a.1 - 2018-19'!$A$5:$A$42</c15:sqref>
                  </c15:fullRef>
                </c:ext>
              </c:extLst>
              <c:f>('NIF 4.a.1 - 2018-19'!$A$9,'NIF 4.a.1 - 2018-19'!$A$14,'NIF 4.a.1 - 2018-19'!$A$24,'NIF 4.a.1 - 2018-19'!$A$33)</c:f>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4.a.1 - 2018-19'!$I$5:$I$42</c15:sqref>
                  </c15:fullRef>
                </c:ext>
              </c:extLst>
              <c:f>('NIF 4.a.1 - 2018-19'!$I$9,'NIF 4.a.1 - 2018-19'!$I$14,'NIF 4.a.1 - 2018-19'!$I$24,'NIF 4.a.1 - 2018-19'!$I$33)</c:f>
              <c:numCache>
                <c:formatCode>0.00</c:formatCode>
                <c:ptCount val="4"/>
                <c:pt idx="0">
                  <c:v>81.315565318748313</c:v>
                </c:pt>
                <c:pt idx="1">
                  <c:v>99.964930738207954</c:v>
                </c:pt>
                <c:pt idx="2">
                  <c:v>85.561195347388093</c:v>
                </c:pt>
                <c:pt idx="3">
                  <c:v>94.048147483543147</c:v>
                </c:pt>
              </c:numCache>
            </c:numRef>
          </c:val>
          <c:extLst>
            <c:ext xmlns:c16="http://schemas.microsoft.com/office/drawing/2014/chart" uri="{C3380CC4-5D6E-409C-BE32-E72D297353CC}">
              <c16:uniqueId val="{00000007-D675-4684-BF13-31A4786E08F4}"/>
            </c:ext>
          </c:extLst>
        </c:ser>
        <c:dLbls>
          <c:showLegendKey val="0"/>
          <c:showVal val="0"/>
          <c:showCatName val="0"/>
          <c:showSerName val="0"/>
          <c:showPercent val="0"/>
          <c:showBubbleSize val="0"/>
        </c:dLbls>
        <c:gapWidth val="150"/>
        <c:overlap val="100"/>
        <c:axId val="1878266255"/>
        <c:axId val="1878266735"/>
        <c:extLst>
          <c:ext xmlns:c15="http://schemas.microsoft.com/office/drawing/2012/chart" uri="{02D57815-91ED-43cb-92C2-25804820EDAC}">
            <c15:filteredBarSeries>
              <c15:ser>
                <c:idx val="8"/>
                <c:order val="8"/>
                <c:tx>
                  <c:strRef>
                    <c:extLst>
                      <c:ext uri="{02D57815-91ED-43cb-92C2-25804820EDAC}">
                        <c15:formulaRef>
                          <c15:sqref>'NIF 4.a.1 - 2018-19'!$J$1:$J$4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3">
                      <a:lumMod val="60000"/>
                    </a:schemeClr>
                  </a:solidFill>
                  <a:ln>
                    <a:noFill/>
                  </a:ln>
                  <a:effectLst/>
                </c:spPr>
                <c:invertIfNegative val="0"/>
                <c:cat>
                  <c:strRef>
                    <c:extLst>
                      <c:ex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uri="{02D57815-91ED-43cb-92C2-25804820EDAC}">
                        <c15:fullRef>
                          <c15:sqref>'NIF 4.a.1 - 2018-19'!$J$5:$J$42</c15:sqref>
                        </c15:fullRef>
                        <c15:formulaRef>
                          <c15:sqref>('NIF 4.a.1 - 2018-19'!$J$9,'NIF 4.a.1 - 2018-19'!$J$14,'NIF 4.a.1 - 2018-19'!$J$24,'NIF 4.a.1 - 2018-19'!$J$33)</c15:sqref>
                        </c15:formulaRef>
                      </c:ext>
                    </c:extLst>
                    <c:numCache>
                      <c:formatCode>General</c:formatCode>
                      <c:ptCount val="4"/>
                    </c:numCache>
                  </c:numRef>
                </c:val>
                <c:extLst>
                  <c:ext xmlns:c16="http://schemas.microsoft.com/office/drawing/2014/chart" uri="{C3380CC4-5D6E-409C-BE32-E72D297353CC}">
                    <c16:uniqueId val="{00000008-D675-4684-BF13-31A4786E08F4}"/>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'NIF 4.a.1 - 2018-19'!$K$1:$K$4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4.a.1 - 2018-19'!$K$5:$K$42</c15:sqref>
                        </c15:fullRef>
                        <c15:formulaRef>
                          <c15:sqref>('NIF 4.a.1 - 2018-19'!$K$9,'NIF 4.a.1 - 2018-19'!$K$14,'NIF 4.a.1 - 2018-19'!$K$24,'NIF 4.a.1 - 2018-19'!$K$33)</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9-D675-4684-BF13-31A4786E08F4}"/>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'NIF 4.a.1 - 2018-19'!$L$1:$L$4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4.a.1 - 2018-19'!$L$5:$L$42</c15:sqref>
                        </c15:fullRef>
                        <c15:formulaRef>
                          <c15:sqref>('NIF 4.a.1 - 2018-19'!$L$9,'NIF 4.a.1 - 2018-19'!$L$14,'NIF 4.a.1 - 2018-19'!$L$24,'NIF 4.a.1 - 2018-19'!$L$33)</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A-D675-4684-BF13-31A4786E08F4}"/>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'NIF 4.a.1 - 2018-19'!$M$1:$M$4</c15:sqref>
                        </c15:formulaRef>
                      </c:ext>
                    </c:extLst>
                    <c:strCache>
                      <c:ptCount val="4"/>
                      <c:pt idx="0">
                        <c:v>4.a.1: Proportion of schools with access to: (a) electricity; (b) computers for pedagogical purposes; (c) adapted infrastructure and materials for students with disabilities/ disabled friendly ramp and toilets; (d) basic drinking water; (e) single-sex bas</c:v>
                      </c:pt>
                      <c:pt idx="1">
                        <c:v>2018-19</c:v>
                      </c:pt>
                      <c:pt idx="2">
                        <c:v>(f) Basic hand washing facilities (as per the WASH indicator definitions)</c:v>
                      </c:pt>
                      <c:pt idx="3">
                        <c:v>Girls</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'NIF 4.a.1 - 2018-19'!$A$5:$A$42</c15:sqref>
                        </c15:fullRef>
                        <c15:formulaRef>
                          <c15:sqref>('NIF 4.a.1 - 2018-19'!$A$9,'NIF 4.a.1 - 2018-19'!$A$14,'NIF 4.a.1 - 2018-19'!$A$24,'NIF 4.a.1 - 2018-19'!$A$33)</c15:sqref>
                        </c15:formulaRef>
                      </c:ext>
                    </c:extLst>
                    <c:strCache>
                      <c:ptCount val="4"/>
                      <c:pt idx="0">
                        <c:v>Bihar</c:v>
                      </c:pt>
                      <c:pt idx="1">
                        <c:v>Delhi</c:v>
                      </c:pt>
                      <c:pt idx="2">
                        <c:v>Madhya Pradesh</c:v>
                      </c:pt>
                      <c:pt idx="3">
                        <c:v>Rajasthan</c:v>
                      </c:pt>
                    </c:strCache>
                  </c:strRef>
                </c:cat>
                <c:val>
                  <c:numRef>
                    <c:extLst>
                      <c:ext xmlns:c15="http://schemas.microsoft.com/office/drawing/2012/chart" uri="{02D57815-91ED-43cb-92C2-25804820EDAC}">
                        <c15:fullRef>
                          <c15:sqref>'NIF 4.a.1 - 2018-19'!$M$5:$M$42</c15:sqref>
                        </c15:fullRef>
                        <c15:formulaRef>
                          <c15:sqref>('NIF 4.a.1 - 2018-19'!$M$9,'NIF 4.a.1 - 2018-19'!$M$14,'NIF 4.a.1 - 2018-19'!$M$24,'NIF 4.a.1 - 2018-19'!$M$33)</c15:sqref>
                        </c15:formulaRef>
                      </c:ext>
                    </c:extLst>
                    <c:numCache>
                      <c:formatCode>General</c:formatCode>
                      <c:ptCount val="4"/>
                    </c:numCache>
                  </c:numRef>
                </c:val>
                <c:extLst xmlns:c15="http://schemas.microsoft.com/office/drawing/2012/chart">
                  <c:ext xmlns:c16="http://schemas.microsoft.com/office/drawing/2014/chart" uri="{C3380CC4-5D6E-409C-BE32-E72D297353CC}">
                    <c16:uniqueId val="{0000000B-D675-4684-BF13-31A4786E08F4}"/>
                  </c:ext>
                </c:extLst>
              </c15:ser>
            </c15:filteredBarSeries>
          </c:ext>
        </c:extLst>
      </c:barChart>
      <c:catAx>
        <c:axId val="187826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66735"/>
        <c:crosses val="autoZero"/>
        <c:auto val="1"/>
        <c:lblAlgn val="ctr"/>
        <c:lblOffset val="100"/>
        <c:noMultiLvlLbl val="0"/>
      </c:catAx>
      <c:valAx>
        <c:axId val="18782667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6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'NIF 4.a.1 - 2018-19'!$A$24:$A$33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'NIF 4.a.1 - 2018-19'!$B$24:$B$33</c:f>
              <c:numCache>
                <c:formatCode>0.00</c:formatCode>
                <c:ptCount val="10"/>
                <c:pt idx="0">
                  <c:v>55.214066881296084</c:v>
                </c:pt>
                <c:pt idx="1">
                  <c:v>86.710265412672143</c:v>
                </c:pt>
                <c:pt idx="2">
                  <c:v>48.286540049545827</c:v>
                </c:pt>
                <c:pt idx="3">
                  <c:v>19.081055286658941</c:v>
                </c:pt>
                <c:pt idx="4">
                  <c:v>73.881932021466895</c:v>
                </c:pt>
                <c:pt idx="5">
                  <c:v>63.045058139534881</c:v>
                </c:pt>
                <c:pt idx="6">
                  <c:v>37.885821557984194</c:v>
                </c:pt>
                <c:pt idx="7">
                  <c:v>100</c:v>
                </c:pt>
                <c:pt idx="8">
                  <c:v>99.954604183399098</c:v>
                </c:pt>
                <c:pt idx="9">
                  <c:v>71.266397816457797</c:v>
                </c:pt>
              </c:numCache>
            </c:numRef>
          </c:val>
          <c:extLst>
            <c:ext xmlns:c16="http://schemas.microsoft.com/office/drawing/2014/chart" uri="{C3380CC4-5D6E-409C-BE32-E72D297353CC}">
              <c16:uniqueId val="{00000000-ED5E-4DB7-B55A-DBA4395CF418}"/>
            </c:ext>
          </c:extLst>
        </c:ser>
        <c:dLbls>
          <c:showLegendKey val="0"/>
          <c:showVal val="0"/>
          <c:showCatName val="0"/>
          <c:showSerName val="0"/>
          <c:showPercent val="0"/>
          <c:showBubbleSize val="0"/>
        </c:dLbls>
        <c:gapWidth val="219"/>
        <c:overlap val="-27"/>
        <c:axId val="1878218255"/>
        <c:axId val="1878213935"/>
      </c:barChart>
      <c:catAx>
        <c:axId val="187821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13935"/>
        <c:crosses val="autoZero"/>
        <c:auto val="1"/>
        <c:lblAlgn val="ctr"/>
        <c:lblOffset val="100"/>
        <c:noMultiLvlLbl val="0"/>
      </c:catAx>
      <c:valAx>
        <c:axId val="1878213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1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consumption</a:t>
            </a:r>
          </a:p>
        </c:rich>
      </c:tx>
      <c:layout>
        <c:manualLayout>
          <c:xMode val="edge"/>
          <c:yMode val="edge"/>
          <c:x val="0.37659541220449044"/>
          <c:y val="1.08991794434037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7324238213538815"/>
          <c:y val="9.0844517626919655E-2"/>
          <c:w val="0.78873028571963266"/>
          <c:h val="0.63479910609564505"/>
        </c:manualLayout>
      </c:layout>
      <c:barChart>
        <c:barDir val="col"/>
        <c:grouping val="clustered"/>
        <c:varyColors val="0"/>
        <c:ser>
          <c:idx val="0"/>
          <c:order val="0"/>
          <c:tx>
            <c:v>electricty</c:v>
          </c:tx>
          <c:spPr>
            <a:solidFill>
              <a:schemeClr val="accent1">
                <a:alpha val="85000"/>
              </a:schemeClr>
            </a:solidFill>
            <a:ln w="9525" cap="flat" cmpd="sng" algn="ctr">
              <a:solidFill>
                <a:schemeClr val="lt1">
                  <a:alpha val="50000"/>
                </a:schemeClr>
              </a:solidFill>
              <a:round/>
            </a:ln>
            <a:effectLst/>
          </c:spPr>
          <c:invertIfNegative val="0"/>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acess'!$B$24:$B$33</c:f>
              <c:numCache>
                <c:formatCode>0.00</c:formatCode>
                <c:ptCount val="10"/>
                <c:pt idx="0">
                  <c:v>26.775314734482166</c:v>
                </c:pt>
                <c:pt idx="1">
                  <c:v>86.618226417899365</c:v>
                </c:pt>
                <c:pt idx="2">
                  <c:v>33.206489084718605</c:v>
                </c:pt>
                <c:pt idx="3">
                  <c:v>24.369574204216619</c:v>
                </c:pt>
                <c:pt idx="4">
                  <c:v>66.06535947712419</c:v>
                </c:pt>
                <c:pt idx="5">
                  <c:v>48.230714791224344</c:v>
                </c:pt>
                <c:pt idx="6">
                  <c:v>31.376955903271693</c:v>
                </c:pt>
                <c:pt idx="7">
                  <c:v>100</c:v>
                </c:pt>
                <c:pt idx="8">
                  <c:v>99.93445563681523</c:v>
                </c:pt>
                <c:pt idx="9">
                  <c:v>55.472756114656733</c:v>
                </c:pt>
              </c:numCache>
            </c:numRef>
          </c:val>
          <c:extLst>
            <c:ext xmlns:c16="http://schemas.microsoft.com/office/drawing/2014/chart" uri="{C3380CC4-5D6E-409C-BE32-E72D297353CC}">
              <c16:uniqueId val="{00000000-4D1F-4415-ACC9-46D17A99E0E4}"/>
            </c:ext>
          </c:extLst>
        </c:ser>
        <c:ser>
          <c:idx val="1"/>
          <c:order val="1"/>
          <c:tx>
            <c:v>consumption</c:v>
          </c:tx>
          <c:spPr>
            <a:solidFill>
              <a:schemeClr val="accent2">
                <a:alpha val="85000"/>
              </a:schemeClr>
            </a:solidFill>
            <a:ln w="9525" cap="flat" cmpd="sng" algn="ctr">
              <a:solidFill>
                <a:schemeClr val="lt1">
                  <a:alpha val="50000"/>
                </a:schemeClr>
              </a:solidFill>
              <a:round/>
            </a:ln>
            <a:effectLst/>
          </c:spPr>
          <c:invertIfNegative val="0"/>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acess'!$C$24:$C$33</c:f>
              <c:numCache>
                <c:formatCode>0.00</c:formatCode>
                <c:ptCount val="10"/>
                <c:pt idx="0">
                  <c:v>15.17</c:v>
                </c:pt>
                <c:pt idx="1">
                  <c:v>59.65</c:v>
                </c:pt>
                <c:pt idx="2">
                  <c:v>27.16</c:v>
                </c:pt>
                <c:pt idx="3">
                  <c:v>11.74</c:v>
                </c:pt>
                <c:pt idx="4">
                  <c:v>32.81</c:v>
                </c:pt>
                <c:pt idx="5">
                  <c:v>40.130000000000003</c:v>
                </c:pt>
                <c:pt idx="6">
                  <c:v>15.03</c:v>
                </c:pt>
                <c:pt idx="7">
                  <c:v>98.77</c:v>
                </c:pt>
                <c:pt idx="8">
                  <c:v>52.83</c:v>
                </c:pt>
                <c:pt idx="9">
                  <c:v>30.11</c:v>
                </c:pt>
              </c:numCache>
            </c:numRef>
          </c:val>
          <c:extLst>
            <c:ext xmlns:c16="http://schemas.microsoft.com/office/drawing/2014/chart" uri="{C3380CC4-5D6E-409C-BE32-E72D297353CC}">
              <c16:uniqueId val="{00000001-4D1F-4415-ACC9-46D17A99E0E4}"/>
            </c:ext>
          </c:extLst>
        </c:ser>
        <c:dLbls>
          <c:showLegendKey val="0"/>
          <c:showVal val="0"/>
          <c:showCatName val="0"/>
          <c:showSerName val="0"/>
          <c:showPercent val="0"/>
          <c:showBubbleSize val="0"/>
        </c:dLbls>
        <c:gapWidth val="65"/>
        <c:axId val="1878315215"/>
        <c:axId val="1878315695"/>
      </c:barChart>
      <c:catAx>
        <c:axId val="18783152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78315695"/>
        <c:crosses val="autoZero"/>
        <c:auto val="1"/>
        <c:lblAlgn val="ctr"/>
        <c:lblOffset val="100"/>
        <c:noMultiLvlLbl val="0"/>
      </c:catAx>
      <c:valAx>
        <c:axId val="18783156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7831521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88161071091694"/>
          <c:y val="5.0632797612627178E-2"/>
          <c:w val="0.86130299130056553"/>
          <c:h val="0.68595335393202428"/>
        </c:manualLayout>
      </c:layout>
      <c:lineChart>
        <c:grouping val="standard"/>
        <c:varyColors val="0"/>
        <c:ser>
          <c:idx val="0"/>
          <c:order val="0"/>
          <c:tx>
            <c:v>basic drinking water</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acess'!$F$24:$F$33</c:f>
              <c:numCache>
                <c:formatCode>0.00</c:formatCode>
                <c:ptCount val="10"/>
                <c:pt idx="0">
                  <c:v>82.348337114126906</c:v>
                </c:pt>
                <c:pt idx="1">
                  <c:v>96.183007507619124</c:v>
                </c:pt>
                <c:pt idx="2">
                  <c:v>71.059483276587216</c:v>
                </c:pt>
                <c:pt idx="3">
                  <c:v>36.357999173212072</c:v>
                </c:pt>
                <c:pt idx="4">
                  <c:v>77.986928104575156</c:v>
                </c:pt>
                <c:pt idx="5">
                  <c:v>57.855626326963908</c:v>
                </c:pt>
                <c:pt idx="6">
                  <c:v>82.305832147937409</c:v>
                </c:pt>
                <c:pt idx="7">
                  <c:v>99.863201094391243</c:v>
                </c:pt>
                <c:pt idx="8">
                  <c:v>99.775769283841584</c:v>
                </c:pt>
                <c:pt idx="9">
                  <c:v>85.346036079241529</c:v>
                </c:pt>
              </c:numCache>
            </c:numRef>
          </c:val>
          <c:smooth val="0"/>
          <c:extLst>
            <c:ext xmlns:c16="http://schemas.microsoft.com/office/drawing/2014/chart" uri="{C3380CC4-5D6E-409C-BE32-E72D297353CC}">
              <c16:uniqueId val="{00000000-1EA9-4114-AAD1-C6F41A12874A}"/>
            </c:ext>
          </c:extLst>
        </c:ser>
        <c:ser>
          <c:idx val="1"/>
          <c:order val="1"/>
          <c:tx>
            <c:v>sanitation facilties</c:v>
          </c:tx>
          <c:spPr>
            <a:ln w="28575" cap="rnd">
              <a:solidFill>
                <a:schemeClr val="accent2"/>
              </a:solidFill>
              <a:round/>
            </a:ln>
            <a:effectLst/>
          </c:spPr>
          <c:marker>
            <c:symbol val="none"/>
          </c:marker>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acess'!$G$24:$G$33</c:f>
              <c:numCache>
                <c:formatCode>0.00</c:formatCode>
                <c:ptCount val="10"/>
                <c:pt idx="0">
                  <c:v>94.509889760019107</c:v>
                </c:pt>
                <c:pt idx="1">
                  <c:v>98.026462499070846</c:v>
                </c:pt>
                <c:pt idx="2">
                  <c:v>97.877027838974556</c:v>
                </c:pt>
                <c:pt idx="3">
                  <c:v>85.765467824169775</c:v>
                </c:pt>
                <c:pt idx="4">
                  <c:v>97.803921568627445</c:v>
                </c:pt>
                <c:pt idx="5">
                  <c:v>98.619957537154988</c:v>
                </c:pt>
                <c:pt idx="6">
                  <c:v>92.648648648648646</c:v>
                </c:pt>
                <c:pt idx="7">
                  <c:v>95.759233926128601</c:v>
                </c:pt>
                <c:pt idx="8">
                  <c:v>98.061266731061124</c:v>
                </c:pt>
                <c:pt idx="9">
                  <c:v>98.473641494816832</c:v>
                </c:pt>
              </c:numCache>
            </c:numRef>
          </c:val>
          <c:smooth val="0"/>
          <c:extLst>
            <c:ext xmlns:c16="http://schemas.microsoft.com/office/drawing/2014/chart" uri="{C3380CC4-5D6E-409C-BE32-E72D297353CC}">
              <c16:uniqueId val="{00000001-1EA9-4114-AAD1-C6F41A12874A}"/>
            </c:ext>
          </c:extLst>
        </c:ser>
        <c:ser>
          <c:idx val="2"/>
          <c:order val="2"/>
          <c:tx>
            <c:v>sanitatin facilties</c:v>
          </c:tx>
          <c:spPr>
            <a:ln w="28575" cap="rnd">
              <a:solidFill>
                <a:schemeClr val="accent3"/>
              </a:solidFill>
              <a:round/>
            </a:ln>
            <a:effectLst/>
          </c:spPr>
          <c:marker>
            <c:symbol val="none"/>
          </c:marker>
          <c:cat>
            <c:strRef>
              <c:f>'School acess'!$A$24:$A$33</c:f>
              <c:strCache>
                <c:ptCount val="10"/>
                <c:pt idx="0">
                  <c:v>Madhya Pradesh</c:v>
                </c:pt>
                <c:pt idx="1">
                  <c:v>Maharashtra</c:v>
                </c:pt>
                <c:pt idx="2">
                  <c:v>Manipur</c:v>
                </c:pt>
                <c:pt idx="3">
                  <c:v>Meghalaya</c:v>
                </c:pt>
                <c:pt idx="4">
                  <c:v>Mizoram</c:v>
                </c:pt>
                <c:pt idx="5">
                  <c:v>Nagaland</c:v>
                </c:pt>
                <c:pt idx="6">
                  <c:v>Odisha</c:v>
                </c:pt>
                <c:pt idx="7">
                  <c:v>Puducherry</c:v>
                </c:pt>
                <c:pt idx="8">
                  <c:v>Punjab</c:v>
                </c:pt>
                <c:pt idx="9">
                  <c:v>Rajasthan</c:v>
                </c:pt>
              </c:strCache>
            </c:strRef>
          </c:cat>
          <c:val>
            <c:numRef>
              <c:f>'School acess'!$H$24:$H$33</c:f>
              <c:numCache>
                <c:formatCode>0.00</c:formatCode>
                <c:ptCount val="10"/>
                <c:pt idx="0">
                  <c:v>95.550602937079631</c:v>
                </c:pt>
                <c:pt idx="1">
                  <c:v>98.855273916598534</c:v>
                </c:pt>
                <c:pt idx="2">
                  <c:v>98.578009212898053</c:v>
                </c:pt>
                <c:pt idx="3">
                  <c:v>84.180790960451972</c:v>
                </c:pt>
                <c:pt idx="4">
                  <c:v>99.267973856209153</c:v>
                </c:pt>
                <c:pt idx="5">
                  <c:v>99.858457183297944</c:v>
                </c:pt>
                <c:pt idx="6">
                  <c:v>96.852062588904701</c:v>
                </c:pt>
                <c:pt idx="7">
                  <c:v>96.716826265389884</c:v>
                </c:pt>
                <c:pt idx="8">
                  <c:v>99.130674761970468</c:v>
                </c:pt>
                <c:pt idx="9">
                  <c:v>99.65691518795883</c:v>
                </c:pt>
              </c:numCache>
            </c:numRef>
          </c:val>
          <c:smooth val="0"/>
          <c:extLst>
            <c:ext xmlns:c16="http://schemas.microsoft.com/office/drawing/2014/chart" uri="{C3380CC4-5D6E-409C-BE32-E72D297353CC}">
              <c16:uniqueId val="{00000002-1EA9-4114-AAD1-C6F41A12874A}"/>
            </c:ext>
          </c:extLst>
        </c:ser>
        <c:dLbls>
          <c:showLegendKey val="0"/>
          <c:showVal val="0"/>
          <c:showCatName val="0"/>
          <c:showSerName val="0"/>
          <c:showPercent val="0"/>
          <c:showBubbleSize val="0"/>
        </c:dLbls>
        <c:smooth val="0"/>
        <c:axId val="1523717807"/>
        <c:axId val="1523718287"/>
      </c:lineChart>
      <c:catAx>
        <c:axId val="152371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18287"/>
        <c:crosses val="autoZero"/>
        <c:auto val="1"/>
        <c:lblAlgn val="ctr"/>
        <c:lblOffset val="100"/>
        <c:noMultiLvlLbl val="0"/>
      </c:catAx>
      <c:valAx>
        <c:axId val="1523718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horz" anchor="t" anchorCtr="1"/>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64437276665718"/>
          <c:y val="6.7940552016985137E-2"/>
          <c:w val="0.87693661786252619"/>
          <c:h val="0.69236304060718523"/>
        </c:manualLayout>
      </c:layout>
      <c:barChart>
        <c:barDir val="col"/>
        <c:grouping val="percentStacked"/>
        <c:varyColors val="0"/>
        <c:ser>
          <c:idx val="0"/>
          <c:order val="0"/>
          <c:tx>
            <c:strRef>
              <c:f>'literacy rate'!$A$17</c:f>
              <c:strCache>
                <c:ptCount val="1"/>
                <c:pt idx="0">
                  <c:v>Daman and Diu</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rate'!$B$17:$C$17</c:f>
              <c:numCache>
                <c:formatCode>0.00</c:formatCode>
                <c:ptCount val="2"/>
                <c:pt idx="0">
                  <c:v>93.1</c:v>
                </c:pt>
                <c:pt idx="1">
                  <c:v>91.04</c:v>
                </c:pt>
              </c:numCache>
            </c:numRef>
          </c:val>
          <c:extLst>
            <c:ext xmlns:c16="http://schemas.microsoft.com/office/drawing/2014/chart" uri="{C3380CC4-5D6E-409C-BE32-E72D297353CC}">
              <c16:uniqueId val="{00000000-1321-426E-8184-22CCD7A08160}"/>
            </c:ext>
          </c:extLst>
        </c:ser>
        <c:ser>
          <c:idx val="1"/>
          <c:order val="1"/>
          <c:tx>
            <c:strRef>
              <c:f>'literacy rate'!$A$18</c:f>
              <c:strCache>
                <c:ptCount val="1"/>
                <c:pt idx="0">
                  <c:v>Uttarakhand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rate'!$B$18:$C$18</c:f>
              <c:numCache>
                <c:formatCode>0.00</c:formatCode>
                <c:ptCount val="2"/>
                <c:pt idx="0">
                  <c:v>94</c:v>
                </c:pt>
                <c:pt idx="1">
                  <c:v>89.95</c:v>
                </c:pt>
              </c:numCache>
            </c:numRef>
          </c:val>
          <c:extLst>
            <c:ext xmlns:c16="http://schemas.microsoft.com/office/drawing/2014/chart" uri="{C3380CC4-5D6E-409C-BE32-E72D297353CC}">
              <c16:uniqueId val="{00000001-1321-426E-8184-22CCD7A08160}"/>
            </c:ext>
          </c:extLst>
        </c:ser>
        <c:ser>
          <c:idx val="2"/>
          <c:order val="2"/>
          <c:tx>
            <c:strRef>
              <c:f>'literacy rate'!$A$19</c:f>
              <c:strCache>
                <c:ptCount val="1"/>
                <c:pt idx="0">
                  <c:v>Punjab</c:v>
                </c:pt>
              </c:strCache>
              <c:extLst xmlns:c15="http://schemas.microsoft.com/office/drawing/2012/chart"/>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rate'!$B$19:$C$19</c:f>
              <c:numCache>
                <c:formatCode>0.00</c:formatCode>
                <c:ptCount val="2"/>
                <c:pt idx="0">
                  <c:v>90.44</c:v>
                </c:pt>
                <c:pt idx="1">
                  <c:v>88.94</c:v>
                </c:pt>
              </c:numCache>
              <c:extLst xmlns:c15="http://schemas.microsoft.com/office/drawing/2012/chart"/>
            </c:numRef>
          </c:val>
          <c:extLst xmlns:c15="http://schemas.microsoft.com/office/drawing/2012/chart">
            <c:ext xmlns:c16="http://schemas.microsoft.com/office/drawing/2014/chart" uri="{C3380CC4-5D6E-409C-BE32-E72D297353CC}">
              <c16:uniqueId val="{00000002-1321-426E-8184-22CCD7A08160}"/>
            </c:ext>
          </c:extLst>
        </c:ser>
        <c:ser>
          <c:idx val="3"/>
          <c:order val="3"/>
          <c:tx>
            <c:strRef>
              <c:f>'literacy rate'!$A$20</c:f>
              <c:strCache>
                <c:ptCount val="1"/>
                <c:pt idx="0">
                  <c:v>Karnataka</c:v>
                </c:pt>
              </c:strCache>
              <c:extLst xmlns:c15="http://schemas.microsoft.com/office/drawing/2012/chart"/>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rate'!$B$20:$C$20</c:f>
              <c:numCache>
                <c:formatCode>0.00</c:formatCode>
                <c:ptCount val="2"/>
                <c:pt idx="0">
                  <c:v>93.13</c:v>
                </c:pt>
                <c:pt idx="1">
                  <c:v>88.28</c:v>
                </c:pt>
              </c:numCache>
              <c:extLst xmlns:c15="http://schemas.microsoft.com/office/drawing/2012/chart"/>
            </c:numRef>
          </c:val>
          <c:extLst xmlns:c15="http://schemas.microsoft.com/office/drawing/2012/chart">
            <c:ext xmlns:c16="http://schemas.microsoft.com/office/drawing/2014/chart" uri="{C3380CC4-5D6E-409C-BE32-E72D297353CC}">
              <c16:uniqueId val="{00000003-1321-426E-8184-22CCD7A08160}"/>
            </c:ext>
          </c:extLst>
        </c:ser>
        <c:ser>
          <c:idx val="4"/>
          <c:order val="4"/>
          <c:tx>
            <c:strRef>
              <c:f>'literacy rate'!$A$21</c:f>
              <c:strCache>
                <c:ptCount val="1"/>
                <c:pt idx="0">
                  <c:v>Nagaland</c:v>
                </c:pt>
              </c:strCache>
              <c:extLst xmlns:c15="http://schemas.microsoft.com/office/drawing/2012/chart"/>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'literacy rate'!$B$21:$C$21</c:f>
              <c:numCache>
                <c:formatCode>0.00</c:formatCode>
                <c:ptCount val="2"/>
                <c:pt idx="0">
                  <c:v>89.1</c:v>
                </c:pt>
                <c:pt idx="1">
                  <c:v>87.28</c:v>
                </c:pt>
              </c:numCache>
              <c:extLst xmlns:c15="http://schemas.microsoft.com/office/drawing/2012/chart"/>
            </c:numRef>
          </c:val>
          <c:extLst xmlns:c15="http://schemas.microsoft.com/office/drawing/2012/chart">
            <c:ext xmlns:c16="http://schemas.microsoft.com/office/drawing/2014/chart" uri="{C3380CC4-5D6E-409C-BE32-E72D297353CC}">
              <c16:uniqueId val="{00000004-1321-426E-8184-22CCD7A08160}"/>
            </c:ext>
          </c:extLst>
        </c:ser>
        <c:ser>
          <c:idx val="5"/>
          <c:order val="5"/>
          <c:tx>
            <c:strRef>
              <c:f>'literacy rate'!$A$22</c:f>
              <c:strCache>
                <c:ptCount val="1"/>
                <c:pt idx="0">
                  <c:v>Haryana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rate'!$B$22:$C$22</c:f>
              <c:numCache>
                <c:formatCode>0.00</c:formatCode>
                <c:ptCount val="2"/>
                <c:pt idx="0">
                  <c:v>92.8</c:v>
                </c:pt>
                <c:pt idx="1">
                  <c:v>86.54</c:v>
                </c:pt>
              </c:numCache>
            </c:numRef>
          </c:val>
          <c:extLst>
            <c:ext xmlns:c16="http://schemas.microsoft.com/office/drawing/2014/chart" uri="{C3380CC4-5D6E-409C-BE32-E72D297353CC}">
              <c16:uniqueId val="{00000005-1321-426E-8184-22CCD7A08160}"/>
            </c:ext>
          </c:extLst>
        </c:ser>
        <c:ser>
          <c:idx val="8"/>
          <c:order val="8"/>
          <c:tx>
            <c:strRef>
              <c:f>'literacy rate'!$A$25</c:f>
              <c:strCache>
                <c:ptCount val="1"/>
                <c:pt idx="0">
                  <c:v>West Bengal</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'literacy rate'!$B$25:$C$25</c:f>
              <c:numCache>
                <c:formatCode>0.00</c:formatCode>
                <c:ptCount val="2"/>
                <c:pt idx="0">
                  <c:v>89.18</c:v>
                </c:pt>
                <c:pt idx="1">
                  <c:v>85.22</c:v>
                </c:pt>
              </c:numCache>
            </c:numRef>
          </c:val>
          <c:extLst>
            <c:ext xmlns:c16="http://schemas.microsoft.com/office/drawing/2014/chart" uri="{C3380CC4-5D6E-409C-BE32-E72D297353CC}">
              <c16:uniqueId val="{00000006-1321-426E-8184-22CCD7A08160}"/>
            </c:ext>
          </c:extLst>
        </c:ser>
        <c:dLbls>
          <c:showLegendKey val="0"/>
          <c:showVal val="0"/>
          <c:showCatName val="0"/>
          <c:showSerName val="0"/>
          <c:showPercent val="0"/>
          <c:showBubbleSize val="0"/>
        </c:dLbls>
        <c:gapWidth val="150"/>
        <c:overlap val="100"/>
        <c:axId val="1452422175"/>
        <c:axId val="1452414495"/>
        <c:extLst>
          <c:ext xmlns:c15="http://schemas.microsoft.com/office/drawing/2012/chart" uri="{02D57815-91ED-43cb-92C2-25804820EDAC}">
            <c15:filteredBarSeries>
              <c15:ser>
                <c:idx val="6"/>
                <c:order val="6"/>
                <c:tx>
                  <c:strRef>
                    <c:extLst>
                      <c:ext uri="{02D57815-91ED-43cb-92C2-25804820EDAC}">
                        <c15:formulaRef>
                          <c15:sqref>'literacy rate'!$A$23</c15:sqref>
                        </c15:formulaRef>
                      </c:ext>
                    </c:extLst>
                    <c:strCache>
                      <c:ptCount val="1"/>
                      <c:pt idx="0">
                        <c:v>Manipur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uri="{CE6537A1-D6FC-4f65-9D91-7224C49458BB}">
                      <c15:spPr xmlns:c15="http://schemas.microsoft.com/office/drawing/2012/chart">
                        <a:prstGeom prst="wedgeRectCallout">
                          <a:avLst/>
                        </a:prstGeom>
                        <a:noFill/>
                        <a:ln>
                          <a:noFill/>
                        </a:ln>
                      </c15:spPr>
                      <c15:showLeaderLines val="0"/>
                    </c:ext>
                  </c:extLst>
                </c:dLbls>
                <c:val>
                  <c:numRef>
                    <c:extLst>
                      <c:ext uri="{02D57815-91ED-43cb-92C2-25804820EDAC}">
                        <c15:formulaRef>
                          <c15:sqref>'literacy rate'!$B$23:$C$23</c15:sqref>
                        </c15:formulaRef>
                      </c:ext>
                    </c:extLst>
                    <c:numCache>
                      <c:formatCode>0.00</c:formatCode>
                      <c:ptCount val="2"/>
                      <c:pt idx="0">
                        <c:v>90.27</c:v>
                      </c:pt>
                      <c:pt idx="1">
                        <c:v>85.53</c:v>
                      </c:pt>
                    </c:numCache>
                  </c:numRef>
                </c:val>
                <c:extLst>
                  <c:ext xmlns:c16="http://schemas.microsoft.com/office/drawing/2014/chart" uri="{C3380CC4-5D6E-409C-BE32-E72D297353CC}">
                    <c16:uniqueId val="{00000007-1321-426E-8184-22CCD7A08160}"/>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'literacy rate'!$A$24</c15:sqref>
                        </c15:formulaRef>
                      </c:ext>
                    </c:extLst>
                    <c:strCache>
                      <c:ptCount val="1"/>
                      <c:pt idx="0">
                        <c:v>Meghalaya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extLst xmlns:c15="http://schemas.microsoft.com/office/drawing/2012/chart">
                      <c:ext xmlns:c15="http://schemas.microsoft.com/office/drawing/2012/chart" uri="{02D57815-91ED-43cb-92C2-25804820EDAC}">
                        <c15:formulaRef>
                          <c15:sqref>'literacy rate'!$B$24:$C$24</c15:sqref>
                        </c15:formulaRef>
                      </c:ext>
                    </c:extLst>
                    <c:numCache>
                      <c:formatCode>0.00</c:formatCode>
                      <c:ptCount val="2"/>
                      <c:pt idx="0">
                        <c:v>84.03</c:v>
                      </c:pt>
                      <c:pt idx="1">
                        <c:v>85.48</c:v>
                      </c:pt>
                    </c:numCache>
                  </c:numRef>
                </c:val>
                <c:extLst xmlns:c15="http://schemas.microsoft.com/office/drawing/2012/chart">
                  <c:ext xmlns:c16="http://schemas.microsoft.com/office/drawing/2014/chart" uri="{C3380CC4-5D6E-409C-BE32-E72D297353CC}">
                    <c16:uniqueId val="{00000008-1321-426E-8184-22CCD7A08160}"/>
                  </c:ext>
                </c:extLst>
              </c15:ser>
            </c15:filteredBarSeries>
          </c:ext>
        </c:extLst>
      </c:barChart>
      <c:catAx>
        <c:axId val="145242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414495"/>
        <c:crosses val="autoZero"/>
        <c:auto val="1"/>
        <c:lblAlgn val="ctr"/>
        <c:lblOffset val="100"/>
        <c:noMultiLvlLbl val="0"/>
      </c:catAx>
      <c:valAx>
        <c:axId val="14524144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242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2581736657917761"/>
          <c:y val="0.18300925925925926"/>
          <c:w val="0.73536329833770775"/>
          <c:h val="0.60368802857976089"/>
        </c:manualLayout>
      </c:layout>
      <c:barChart>
        <c:barDir val="bar"/>
        <c:grouping val="clustered"/>
        <c:varyColors val="0"/>
        <c:ser>
          <c:idx val="0"/>
          <c:order val="0"/>
          <c:tx>
            <c:v>primary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07-482E-AC43-9C573CA6A3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school'!$B$23:$B$32</c15:sqref>
                  </c15:fullRef>
                </c:ext>
              </c:extLst>
              <c:f>('primary school'!$B$23,'primary school'!$B$31:$B$32)</c:f>
              <c:numCache>
                <c:formatCode>0.00</c:formatCode>
                <c:ptCount val="3"/>
                <c:pt idx="0">
                  <c:v>0.84392062505783905</c:v>
                </c:pt>
                <c:pt idx="1">
                  <c:v>1.549922887467718</c:v>
                </c:pt>
                <c:pt idx="2">
                  <c:v>0.46480165394767181</c:v>
                </c:pt>
              </c:numCache>
            </c:numRef>
          </c:val>
          <c:extLst>
            <c:ext xmlns:c16="http://schemas.microsoft.com/office/drawing/2014/chart" uri="{C3380CC4-5D6E-409C-BE32-E72D297353CC}">
              <c16:uniqueId val="{00000002-0307-482E-AC43-9C573CA6A380}"/>
            </c:ext>
          </c:extLst>
        </c:ser>
        <c:ser>
          <c:idx val="1"/>
          <c:order val="1"/>
          <c:tx>
            <c:v>upper primary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school'!$C$22:$C$32</c15:sqref>
                  </c15:fullRef>
                </c:ext>
              </c:extLst>
              <c:f>('primary school'!$C$22,'primary school'!$C$30:$C$31)</c:f>
              <c:numCache>
                <c:formatCode>0.00</c:formatCode>
                <c:ptCount val="3"/>
                <c:pt idx="0">
                  <c:v>1.7501988862370723</c:v>
                </c:pt>
                <c:pt idx="1">
                  <c:v>0.98178088213744941</c:v>
                </c:pt>
                <c:pt idx="2">
                  <c:v>1.6243729670701867</c:v>
                </c:pt>
              </c:numCache>
            </c:numRef>
          </c:val>
          <c:extLst>
            <c:ext xmlns:c16="http://schemas.microsoft.com/office/drawing/2014/chart" uri="{C3380CC4-5D6E-409C-BE32-E72D297353CC}">
              <c16:uniqueId val="{00000003-0307-482E-AC43-9C573CA6A380}"/>
            </c:ext>
          </c:extLst>
        </c:ser>
        <c:ser>
          <c:idx val="2"/>
          <c:order val="2"/>
          <c:tx>
            <c:v>elementary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school'!$D$22:$D$32</c15:sqref>
                  </c15:fullRef>
                </c:ext>
              </c:extLst>
              <c:f>('primary school'!$D$22,'primary school'!$D$30:$D$31)</c:f>
              <c:numCache>
                <c:formatCode>0.00</c:formatCode>
                <c:ptCount val="3"/>
                <c:pt idx="0">
                  <c:v>1.6467065868263475</c:v>
                </c:pt>
                <c:pt idx="1">
                  <c:v>0.88142694385573761</c:v>
                </c:pt>
                <c:pt idx="2">
                  <c:v>1.577661123503588</c:v>
                </c:pt>
              </c:numCache>
            </c:numRef>
          </c:val>
          <c:extLst>
            <c:ext xmlns:c16="http://schemas.microsoft.com/office/drawing/2014/chart" uri="{C3380CC4-5D6E-409C-BE32-E72D297353CC}">
              <c16:uniqueId val="{00000004-0307-482E-AC43-9C573CA6A380}"/>
            </c:ext>
          </c:extLst>
        </c:ser>
        <c:ser>
          <c:idx val="3"/>
          <c:order val="3"/>
          <c:tx>
            <c:v>Secondary</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school'!$E$23:$E$32</c15:sqref>
                  </c15:fullRef>
                </c:ext>
              </c:extLst>
              <c:f>('primary school'!$E$23,'primary school'!$E$31:$E$32)</c:f>
              <c:numCache>
                <c:formatCode>0.00</c:formatCode>
                <c:ptCount val="3"/>
                <c:pt idx="0">
                  <c:v>0.38562503038750956</c:v>
                </c:pt>
                <c:pt idx="1">
                  <c:v>1.1934147235583599</c:v>
                </c:pt>
                <c:pt idx="2">
                  <c:v>0.35775297785031202</c:v>
                </c:pt>
              </c:numCache>
            </c:numRef>
          </c:val>
          <c:extLst>
            <c:ext xmlns:c16="http://schemas.microsoft.com/office/drawing/2014/chart" uri="{C3380CC4-5D6E-409C-BE32-E72D297353CC}">
              <c16:uniqueId val="{00000005-0307-482E-AC43-9C573CA6A380}"/>
            </c:ext>
          </c:extLst>
        </c:ser>
        <c:ser>
          <c:idx val="4"/>
          <c:order val="4"/>
          <c:tx>
            <c:v>Higher secondary</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'primary school'!$A$23:$A$32</c15:sqref>
                  </c15:fullRef>
                </c:ext>
              </c:extLst>
              <c:f>('primary school'!$A$23,'primary school'!$A$31:$A$32)</c:f>
              <c:strCache>
                <c:ptCount val="3"/>
                <c:pt idx="0">
                  <c:v>Madhya Pradesh</c:v>
                </c:pt>
                <c:pt idx="1">
                  <c:v>Punjab</c:v>
                </c:pt>
                <c:pt idx="2">
                  <c:v>Rajasthan</c:v>
                </c:pt>
              </c:strCache>
            </c:strRef>
          </c:cat>
          <c:val>
            <c:numRef>
              <c:extLst>
                <c:ext xmlns:c15="http://schemas.microsoft.com/office/drawing/2012/chart" uri="{02D57815-91ED-43cb-92C2-25804820EDAC}">
                  <c15:fullRef>
                    <c15:sqref>'primary school'!$F$23:$F$32</c15:sqref>
                  </c15:fullRef>
                </c:ext>
              </c:extLst>
              <c:f>('primary school'!$F$23,'primary school'!$F$31:$F$32)</c:f>
              <c:numCache>
                <c:formatCode>0.00</c:formatCode>
                <c:ptCount val="3"/>
                <c:pt idx="0">
                  <c:v>0.25621690414852732</c:v>
                </c:pt>
                <c:pt idx="1">
                  <c:v>0.79602872859391038</c:v>
                </c:pt>
                <c:pt idx="2">
                  <c:v>0.22668740085907282</c:v>
                </c:pt>
              </c:numCache>
            </c:numRef>
          </c:val>
          <c:extLst>
            <c:ext xmlns:c16="http://schemas.microsoft.com/office/drawing/2014/chart" uri="{C3380CC4-5D6E-409C-BE32-E72D297353CC}">
              <c16:uniqueId val="{00000006-0307-482E-AC43-9C573CA6A380}"/>
            </c:ext>
          </c:extLst>
        </c:ser>
        <c:dLbls>
          <c:showLegendKey val="0"/>
          <c:showVal val="0"/>
          <c:showCatName val="0"/>
          <c:showSerName val="0"/>
          <c:showPercent val="0"/>
          <c:showBubbleSize val="0"/>
        </c:dLbls>
        <c:gapWidth val="115"/>
        <c:overlap val="-20"/>
        <c:axId val="1955464272"/>
        <c:axId val="1955469552"/>
      </c:barChart>
      <c:valAx>
        <c:axId val="195546955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64272"/>
        <c:crosses val="autoZero"/>
        <c:crossBetween val="between"/>
      </c:valAx>
      <c:catAx>
        <c:axId val="1955464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469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94930008748907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v>Male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'literacy rate'!$A$2:$A$39</c15:sqref>
                  </c15:fullRef>
                </c:ext>
              </c:extLst>
              <c:f>('literacy rate'!$A$13:$A$14,'literacy rate'!$A$17,'literacy rate'!$A$21,'literacy rate'!$A$23,'literacy rate'!$A$26,'literacy rate'!$A$39)</c:f>
              <c:strCache>
                <c:ptCount val="7"/>
                <c:pt idx="0">
                  <c:v>Maharashtra</c:v>
                </c:pt>
                <c:pt idx="1">
                  <c:v>Nct of Delhi</c:v>
                </c:pt>
                <c:pt idx="2">
                  <c:v>Daman and Diu</c:v>
                </c:pt>
                <c:pt idx="3">
                  <c:v>Nagaland</c:v>
                </c:pt>
                <c:pt idx="4">
                  <c:v>Manipur</c:v>
                </c:pt>
                <c:pt idx="5">
                  <c:v>Gujarat</c:v>
                </c:pt>
                <c:pt idx="6">
                  <c:v>Bihar</c:v>
                </c:pt>
              </c:strCache>
            </c:strRef>
          </c:cat>
          <c:val>
            <c:numRef>
              <c:extLst>
                <c:ext xmlns:c15="http://schemas.microsoft.com/office/drawing/2012/chart" uri="{02D57815-91ED-43cb-92C2-25804820EDAC}">
                  <c15:fullRef>
                    <c15:sqref>'literacy rate'!$B$3:$B$39</c15:sqref>
                  </c15:fullRef>
                </c:ext>
              </c:extLst>
              <c:f>('literacy rate'!$B$14:$B$15,'literacy rate'!$B$18,'literacy rate'!$B$22,'literacy rate'!$B$24,'literacy rate'!$B$27)</c:f>
              <c:numCache>
                <c:formatCode>0.00</c:formatCode>
                <c:ptCount val="6"/>
                <c:pt idx="0">
                  <c:v>94.19</c:v>
                </c:pt>
                <c:pt idx="1">
                  <c:v>95.12</c:v>
                </c:pt>
                <c:pt idx="2">
                  <c:v>94</c:v>
                </c:pt>
                <c:pt idx="3">
                  <c:v>92.8</c:v>
                </c:pt>
                <c:pt idx="4">
                  <c:v>84.03</c:v>
                </c:pt>
                <c:pt idx="5">
                  <c:v>90.77</c:v>
                </c:pt>
              </c:numCache>
            </c:numRef>
          </c:val>
          <c:smooth val="0"/>
          <c:extLst>
            <c:ext xmlns:c16="http://schemas.microsoft.com/office/drawing/2014/chart" uri="{C3380CC4-5D6E-409C-BE32-E72D297353CC}">
              <c16:uniqueId val="{00000000-4EDD-4321-84CE-87A75DD54D6E}"/>
            </c:ext>
          </c:extLst>
        </c:ser>
        <c:ser>
          <c:idx val="1"/>
          <c:order val="1"/>
          <c:tx>
            <c:v>Female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'literacy rate'!$A$2:$A$39</c15:sqref>
                  </c15:fullRef>
                </c:ext>
              </c:extLst>
              <c:f>('literacy rate'!$A$13:$A$14,'literacy rate'!$A$17,'literacy rate'!$A$21,'literacy rate'!$A$23,'literacy rate'!$A$26,'literacy rate'!$A$39)</c:f>
              <c:strCache>
                <c:ptCount val="7"/>
                <c:pt idx="0">
                  <c:v>Maharashtra</c:v>
                </c:pt>
                <c:pt idx="1">
                  <c:v>Nct of Delhi</c:v>
                </c:pt>
                <c:pt idx="2">
                  <c:v>Daman and Diu</c:v>
                </c:pt>
                <c:pt idx="3">
                  <c:v>Nagaland</c:v>
                </c:pt>
                <c:pt idx="4">
                  <c:v>Manipur</c:v>
                </c:pt>
                <c:pt idx="5">
                  <c:v>Gujarat</c:v>
                </c:pt>
                <c:pt idx="6">
                  <c:v>Bihar</c:v>
                </c:pt>
              </c:strCache>
            </c:strRef>
          </c:cat>
          <c:val>
            <c:numRef>
              <c:extLst>
                <c:ext xmlns:c15="http://schemas.microsoft.com/office/drawing/2012/chart" uri="{02D57815-91ED-43cb-92C2-25804820EDAC}">
                  <c15:fullRef>
                    <c15:sqref>'literacy rate'!$C$3:$C$39</c15:sqref>
                  </c15:fullRef>
                </c:ext>
              </c:extLst>
              <c:f>('literacy rate'!$C$14:$C$15,'literacy rate'!$C$18,'literacy rate'!$C$22,'literacy rate'!$C$24,'literacy rate'!$C$27)</c:f>
              <c:numCache>
                <c:formatCode>0.00</c:formatCode>
                <c:ptCount val="6"/>
                <c:pt idx="0">
                  <c:v>91.93</c:v>
                </c:pt>
                <c:pt idx="1">
                  <c:v>91.66</c:v>
                </c:pt>
                <c:pt idx="2">
                  <c:v>89.95</c:v>
                </c:pt>
                <c:pt idx="3">
                  <c:v>86.54</c:v>
                </c:pt>
                <c:pt idx="4">
                  <c:v>85.48</c:v>
                </c:pt>
                <c:pt idx="5">
                  <c:v>83.15</c:v>
                </c:pt>
              </c:numCache>
            </c:numRef>
          </c:val>
          <c:smooth val="0"/>
          <c:extLst>
            <c:ext xmlns:c16="http://schemas.microsoft.com/office/drawing/2014/chart" uri="{C3380CC4-5D6E-409C-BE32-E72D297353CC}">
              <c16:uniqueId val="{00000001-4EDD-4321-84CE-87A75DD54D6E}"/>
            </c:ext>
          </c:extLst>
        </c:ser>
        <c:dLbls>
          <c:showLegendKey val="0"/>
          <c:showVal val="0"/>
          <c:showCatName val="0"/>
          <c:showSerName val="0"/>
          <c:showPercent val="0"/>
          <c:showBubbleSize val="0"/>
        </c:dLbls>
        <c:marker val="1"/>
        <c:smooth val="0"/>
        <c:axId val="163365791"/>
        <c:axId val="163363391"/>
      </c:lineChart>
      <c:catAx>
        <c:axId val="1633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3391"/>
        <c:crosses val="autoZero"/>
        <c:auto val="1"/>
        <c:lblAlgn val="ctr"/>
        <c:lblOffset val="100"/>
        <c:noMultiLvlLbl val="0"/>
      </c:catAx>
      <c:valAx>
        <c:axId val="163363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57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44620174931313"/>
          <c:y val="0.11745358613248044"/>
          <c:w val="0.81280774278215218"/>
          <c:h val="0.80152838959963046"/>
        </c:manualLayout>
      </c:layout>
      <c:barChart>
        <c:barDir val="bar"/>
        <c:grouping val="clustered"/>
        <c:varyColors val="0"/>
        <c:ser>
          <c:idx val="0"/>
          <c:order val="0"/>
          <c:tx>
            <c:strRef>
              <c:f>'Student Dataset'!$P$4</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 Dataset'!$Q$3:$Z$3</c:f>
              <c:strCache>
                <c:ptCount val="10"/>
                <c:pt idx="0">
                  <c:v>Sum 6A</c:v>
                </c:pt>
                <c:pt idx="1">
                  <c:v>Sum 6B</c:v>
                </c:pt>
                <c:pt idx="2">
                  <c:v>Sum 7A</c:v>
                </c:pt>
                <c:pt idx="3">
                  <c:v>Sum 7B</c:v>
                </c:pt>
                <c:pt idx="4">
                  <c:v>Sum 8A</c:v>
                </c:pt>
                <c:pt idx="5">
                  <c:v>Sum 8B</c:v>
                </c:pt>
                <c:pt idx="6">
                  <c:v>Sum 9A</c:v>
                </c:pt>
                <c:pt idx="7">
                  <c:v>Sum 9B</c:v>
                </c:pt>
                <c:pt idx="8">
                  <c:v>Sum 10A</c:v>
                </c:pt>
                <c:pt idx="9">
                  <c:v>Sum 10B</c:v>
                </c:pt>
              </c:strCache>
            </c:strRef>
          </c:cat>
          <c:val>
            <c:numRef>
              <c:f>'Student Dataset'!$Q$4:$Z$4</c:f>
              <c:numCache>
                <c:formatCode>General</c:formatCode>
                <c:ptCount val="10"/>
                <c:pt idx="0">
                  <c:v>982</c:v>
                </c:pt>
                <c:pt idx="1">
                  <c:v>1267</c:v>
                </c:pt>
                <c:pt idx="2">
                  <c:v>449</c:v>
                </c:pt>
                <c:pt idx="3">
                  <c:v>464</c:v>
                </c:pt>
                <c:pt idx="4">
                  <c:v>879</c:v>
                </c:pt>
                <c:pt idx="5">
                  <c:v>995</c:v>
                </c:pt>
                <c:pt idx="6">
                  <c:v>1737</c:v>
                </c:pt>
                <c:pt idx="7">
                  <c:v>1069</c:v>
                </c:pt>
                <c:pt idx="8">
                  <c:v>1369</c:v>
                </c:pt>
                <c:pt idx="9">
                  <c:v>798</c:v>
                </c:pt>
              </c:numCache>
            </c:numRef>
          </c:val>
          <c:extLst>
            <c:ext xmlns:c16="http://schemas.microsoft.com/office/drawing/2014/chart" uri="{C3380CC4-5D6E-409C-BE32-E72D297353CC}">
              <c16:uniqueId val="{00000000-6AF3-4EA8-94B9-8456658117BF}"/>
            </c:ext>
          </c:extLst>
        </c:ser>
        <c:dLbls>
          <c:dLblPos val="outEnd"/>
          <c:showLegendKey val="0"/>
          <c:showVal val="1"/>
          <c:showCatName val="0"/>
          <c:showSerName val="0"/>
          <c:showPercent val="0"/>
          <c:showBubbleSize val="0"/>
        </c:dLbls>
        <c:gapWidth val="182"/>
        <c:axId val="85369663"/>
        <c:axId val="85367263"/>
      </c:barChart>
      <c:catAx>
        <c:axId val="8536966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67263"/>
        <c:crosses val="autoZero"/>
        <c:auto val="1"/>
        <c:lblAlgn val="ctr"/>
        <c:lblOffset val="100"/>
        <c:noMultiLvlLbl val="0"/>
      </c:catAx>
      <c:valAx>
        <c:axId val="8536726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696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data id="2">
      <cx:strDim type="cat">
        <cx:f>_xlchart.v1.0</cx:f>
      </cx:strDim>
      <cx:numDim type="val">
        <cx:f>_xlchart.v1.3</cx:f>
      </cx:numDim>
    </cx:data>
    <cx:data id="3">
      <cx:strDim type="cat">
        <cx:f>_xlchart.v1.0</cx:f>
      </cx:strDim>
      <cx:numDim type="val">
        <cx:f>_xlchart.v1.4</cx:f>
      </cx:numDim>
    </cx:data>
    <cx:data id="4">
      <cx:strDim type="cat">
        <cx:f>_xlchart.v1.0</cx:f>
      </cx:strDim>
      <cx:numDim type="val">
        <cx:f>_xlchart.v1.5</cx:f>
      </cx:numDim>
    </cx:data>
    <cx:data id="5">
      <cx:strDim type="cat">
        <cx:f>_xlchart.v1.0</cx:f>
      </cx:strDim>
      <cx:numDim type="val">
        <cx:f>_xlchart.v1.6</cx:f>
      </cx:numDim>
    </cx:data>
    <cx:data id="6">
      <cx:strDim type="cat">
        <cx:f>_xlchart.v1.0</cx:f>
      </cx:strDim>
      <cx:numDim type="val">
        <cx:f>_xlchart.v1.7</cx:f>
      </cx:numDim>
    </cx:data>
  </cx:chartData>
  <cx:chart>
    <cx:title pos="t" align="ctr" overlay="0"/>
    <cx:plotArea>
      <cx:plotAreaRegion>
        <cx:series layoutId="clusteredColumn" uniqueId="{186A63F9-36C1-4372-A37F-FEED6F53AB27}" formatIdx="0">
          <cx:dataId val="0"/>
          <cx:layoutPr>
            <cx:binning intervalClosed="r"/>
          </cx:layoutPr>
        </cx:series>
        <cx:series layoutId="clusteredColumn" hidden="1" uniqueId="{5B8FF135-EF5C-4C26-97CD-EA13A8F16496}" formatIdx="1">
          <cx:dataId val="1"/>
          <cx:layoutPr>
            <cx:binning intervalClosed="r"/>
          </cx:layoutPr>
        </cx:series>
        <cx:series layoutId="clusteredColumn" hidden="1" uniqueId="{E050A186-758C-43AF-A2BA-21602B18B973}" formatIdx="2">
          <cx:dataId val="2"/>
          <cx:layoutPr>
            <cx:binning intervalClosed="r"/>
          </cx:layoutPr>
        </cx:series>
        <cx:series layoutId="clusteredColumn" hidden="1" uniqueId="{2D5F5E36-CC0E-4E6A-9B74-62F740368815}" formatIdx="3">
          <cx:dataId val="3"/>
          <cx:layoutPr>
            <cx:binning intervalClosed="r"/>
          </cx:layoutPr>
        </cx:series>
        <cx:series layoutId="clusteredColumn" hidden="1" uniqueId="{1B9C5A94-D4CD-43B5-80DC-3F34F825C645}" formatIdx="4">
          <cx:dataId val="4"/>
          <cx:layoutPr>
            <cx:binning intervalClosed="r"/>
          </cx:layoutPr>
        </cx:series>
        <cx:series layoutId="clusteredColumn" hidden="1" uniqueId="{4B7786A0-1144-40B9-B0CB-F67F95B900D1}" formatIdx="5">
          <cx:dataId val="5"/>
          <cx:layoutPr>
            <cx:binning intervalClosed="r"/>
          </cx:layoutPr>
        </cx:series>
        <cx:series layoutId="clusteredColumn" hidden="1" uniqueId="{E5D0ABD7-226C-4F4D-82B4-7A12240C103F}" formatIdx="6">
          <cx:dataId val="6"/>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17</xdr:col>
      <xdr:colOff>295275</xdr:colOff>
      <xdr:row>12</xdr:row>
      <xdr:rowOff>14287</xdr:rowOff>
    </xdr:from>
    <xdr:to>
      <xdr:col>24</xdr:col>
      <xdr:colOff>600075</xdr:colOff>
      <xdr:row>25</xdr:row>
      <xdr:rowOff>33337</xdr:rowOff>
    </xdr:to>
    <xdr:graphicFrame macro="">
      <xdr:nvGraphicFramePr>
        <xdr:cNvPr id="2" name="Chart 1">
          <a:extLst>
            <a:ext uri="{FF2B5EF4-FFF2-40B4-BE49-F238E27FC236}">
              <a16:creationId xmlns:a16="http://schemas.microsoft.com/office/drawing/2014/main" id="{956DECCB-3B05-44A9-A0FA-744626F67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381000</xdr:colOff>
      <xdr:row>11</xdr:row>
      <xdr:rowOff>100012</xdr:rowOff>
    </xdr:from>
    <xdr:to>
      <xdr:col>18</xdr:col>
      <xdr:colOff>76200</xdr:colOff>
      <xdr:row>24</xdr:row>
      <xdr:rowOff>119062</xdr:rowOff>
    </xdr:to>
    <xdr:graphicFrame macro="">
      <xdr:nvGraphicFramePr>
        <xdr:cNvPr id="2" name="Chart 1">
          <a:extLst>
            <a:ext uri="{FF2B5EF4-FFF2-40B4-BE49-F238E27FC236}">
              <a16:creationId xmlns:a16="http://schemas.microsoft.com/office/drawing/2014/main" id="{F22DBE42-EEFD-408E-90DF-E1BF814BB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542925</xdr:colOff>
      <xdr:row>26</xdr:row>
      <xdr:rowOff>109537</xdr:rowOff>
    </xdr:from>
    <xdr:to>
      <xdr:col>18</xdr:col>
      <xdr:colOff>238125</xdr:colOff>
      <xdr:row>39</xdr:row>
      <xdr:rowOff>128587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F839848-2851-4730-AA25-23846A29B6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125325" y="6700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390525</xdr:colOff>
      <xdr:row>11</xdr:row>
      <xdr:rowOff>166687</xdr:rowOff>
    </xdr:from>
    <xdr:to>
      <xdr:col>26</xdr:col>
      <xdr:colOff>85725</xdr:colOff>
      <xdr:row>24</xdr:row>
      <xdr:rowOff>185737</xdr:rowOff>
    </xdr:to>
    <xdr:graphicFrame macro="">
      <xdr:nvGraphicFramePr>
        <xdr:cNvPr id="4" name="Chart 3">
          <a:extLst>
            <a:ext uri="{FF2B5EF4-FFF2-40B4-BE49-F238E27FC236}">
              <a16:creationId xmlns:a16="http://schemas.microsoft.com/office/drawing/2014/main" id="{6F71BA14-B25B-4911-AF7A-B58BB31BF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57149</xdr:rowOff>
    </xdr:from>
    <xdr:to>
      <xdr:col>8</xdr:col>
      <xdr:colOff>466725</xdr:colOff>
      <xdr:row>21</xdr:row>
      <xdr:rowOff>123825</xdr:rowOff>
    </xdr:to>
    <xdr:graphicFrame macro="">
      <xdr:nvGraphicFramePr>
        <xdr:cNvPr id="2" name="Chart 1">
          <a:extLst>
            <a:ext uri="{FF2B5EF4-FFF2-40B4-BE49-F238E27FC236}">
              <a16:creationId xmlns:a16="http://schemas.microsoft.com/office/drawing/2014/main" id="{00E1C733-380B-49BC-B0C6-42435E17A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47625</xdr:rowOff>
    </xdr:from>
    <xdr:to>
      <xdr:col>8</xdr:col>
      <xdr:colOff>357187</xdr:colOff>
      <xdr:row>36</xdr:row>
      <xdr:rowOff>1</xdr:rowOff>
    </xdr:to>
    <xdr:graphicFrame macro="">
      <xdr:nvGraphicFramePr>
        <xdr:cNvPr id="3" name="Chart 2">
          <a:extLst>
            <a:ext uri="{FF2B5EF4-FFF2-40B4-BE49-F238E27FC236}">
              <a16:creationId xmlns:a16="http://schemas.microsoft.com/office/drawing/2014/main" id="{6D7240AA-9CCF-4FB6-92BB-5FA18924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4</xdr:row>
      <xdr:rowOff>161926</xdr:rowOff>
    </xdr:from>
    <xdr:to>
      <xdr:col>16</xdr:col>
      <xdr:colOff>514350</xdr:colOff>
      <xdr:row>20</xdr:row>
      <xdr:rowOff>104776</xdr:rowOff>
    </xdr:to>
    <xdr:graphicFrame macro="">
      <xdr:nvGraphicFramePr>
        <xdr:cNvPr id="4" name="Chart 3">
          <a:extLst>
            <a:ext uri="{FF2B5EF4-FFF2-40B4-BE49-F238E27FC236}">
              <a16:creationId xmlns:a16="http://schemas.microsoft.com/office/drawing/2014/main" id="{6EA963E1-DF8D-4D71-A2DF-047D279AD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247650</xdr:colOff>
      <xdr:row>21</xdr:row>
      <xdr:rowOff>176212</xdr:rowOff>
    </xdr:from>
    <xdr:to>
      <xdr:col>25</xdr:col>
      <xdr:colOff>500062</xdr:colOff>
      <xdr:row>36</xdr:row>
      <xdr:rowOff>61912</xdr:rowOff>
    </xdr:to>
    <xdr:graphicFrame macro="">
      <xdr:nvGraphicFramePr>
        <xdr:cNvPr id="5" name="Chart 4">
          <a:extLst>
            <a:ext uri="{FF2B5EF4-FFF2-40B4-BE49-F238E27FC236}">
              <a16:creationId xmlns:a16="http://schemas.microsoft.com/office/drawing/2014/main" id="{94E13323-4876-4008-A528-1BBE2955E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581024</xdr:colOff>
      <xdr:row>21</xdr:row>
      <xdr:rowOff>147637</xdr:rowOff>
    </xdr:from>
    <xdr:to>
      <xdr:col>17</xdr:col>
      <xdr:colOff>228599</xdr:colOff>
      <xdr:row>36</xdr:row>
      <xdr:rowOff>33337</xdr:rowOff>
    </xdr:to>
    <xdr:graphicFrame macro="">
      <xdr:nvGraphicFramePr>
        <xdr:cNvPr id="6" name="Chart 5">
          <a:extLst>
            <a:ext uri="{FF2B5EF4-FFF2-40B4-BE49-F238E27FC236}">
              <a16:creationId xmlns:a16="http://schemas.microsoft.com/office/drawing/2014/main" id="{A66E01EB-68B7-4E3E-A142-D590B6D76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66</xdr:col>
      <xdr:colOff>259458</xdr:colOff>
      <xdr:row>19</xdr:row>
      <xdr:rowOff>28553</xdr:rowOff>
    </xdr:from>
    <xdr:to>
      <xdr:col>73</xdr:col>
      <xdr:colOff>527910</xdr:colOff>
      <xdr:row>39</xdr:row>
      <xdr:rowOff>11762</xdr:rowOff>
    </xdr:to>
    <xdr:graphicFrame macro="">
      <xdr:nvGraphicFramePr>
        <xdr:cNvPr id="2" name="Chart 1">
          <a:extLst>
            <a:ext uri="{FF2B5EF4-FFF2-40B4-BE49-F238E27FC236}">
              <a16:creationId xmlns:a16="http://schemas.microsoft.com/office/drawing/2014/main" id="{B9FA697A-CB25-4E34-978D-ABA19EA19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9</xdr:col>
      <xdr:colOff>951693</xdr:colOff>
      <xdr:row>37</xdr:row>
      <xdr:rowOff>146104</xdr:rowOff>
    </xdr:from>
    <xdr:ext cx="1809829" cy="2538595"/>
    <mc:AlternateContent xmlns:mc="http://schemas.openxmlformats.org/markup-compatibility/2006" xmlns:a14="http://schemas.microsoft.com/office/drawing/2010/main">
      <mc:Choice Requires="a14">
        <xdr:graphicFrame macro="">
          <xdr:nvGraphicFramePr>
            <xdr:cNvPr id="2" name="Elementary">
              <a:extLst>
                <a:ext uri="{FF2B5EF4-FFF2-40B4-BE49-F238E27FC236}">
                  <a16:creationId xmlns:a16="http://schemas.microsoft.com/office/drawing/2014/main" id="{1B62E927-3112-407B-8B3B-23D7F0258A8C}"/>
                </a:ext>
              </a:extLst>
            </xdr:cNvPr>
            <xdr:cNvGraphicFramePr/>
          </xdr:nvGraphicFramePr>
          <xdr:xfrm>
            <a:off x="0" y="0"/>
            <a:ext cx="0" cy="0"/>
          </xdr:xfrm>
          <a:graphic>
            <a:graphicData uri="http://schemas.microsoft.com/office/drawing/2010/slicer">
              <sle:slicer xmlns:sle="http://schemas.microsoft.com/office/drawing/2010/slicer" name="Elementary"/>
            </a:graphicData>
          </a:graphic>
        </xdr:graphicFrame>
      </mc:Choice>
      <mc:Fallback xmlns="">
        <xdr:sp macro="" textlink="">
          <xdr:nvSpPr>
            <xdr:cNvPr id="0" name=""/>
            <xdr:cNvSpPr>
              <a:spLocks noTextEdit="1"/>
            </xdr:cNvSpPr>
          </xdr:nvSpPr>
          <xdr:spPr>
            <a:xfrm>
              <a:off x="11654971" y="7977771"/>
              <a:ext cx="1809829" cy="253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766036</xdr:colOff>
      <xdr:row>36</xdr:row>
      <xdr:rowOff>186464</xdr:rowOff>
    </xdr:from>
    <xdr:ext cx="1823218" cy="2538595"/>
    <mc:AlternateContent xmlns:mc="http://schemas.openxmlformats.org/markup-compatibility/2006" xmlns:a14="http://schemas.microsoft.com/office/drawing/2010/main">
      <mc:Choice Requires="a14">
        <xdr:graphicFrame macro="">
          <xdr:nvGraphicFramePr>
            <xdr:cNvPr id="3" name="Secondary">
              <a:extLst>
                <a:ext uri="{FF2B5EF4-FFF2-40B4-BE49-F238E27FC236}">
                  <a16:creationId xmlns:a16="http://schemas.microsoft.com/office/drawing/2014/main" id="{C2AC0345-83F4-4301-B59C-D6EF52B77E36}"/>
                </a:ext>
              </a:extLst>
            </xdr:cNvPr>
            <xdr:cNvGraphicFramePr/>
          </xdr:nvGraphicFramePr>
          <xdr:xfrm>
            <a:off x="0" y="0"/>
            <a:ext cx="0" cy="0"/>
          </xdr:xfrm>
          <a:graphic>
            <a:graphicData uri="http://schemas.microsoft.com/office/drawing/2010/slicer">
              <sle:slicer xmlns:sle="http://schemas.microsoft.com/office/drawing/2010/slicer" name="Secondary"/>
            </a:graphicData>
          </a:graphic>
        </xdr:graphicFrame>
      </mc:Choice>
      <mc:Fallback xmlns="">
        <xdr:sp macro="" textlink="">
          <xdr:nvSpPr>
            <xdr:cNvPr id="0" name=""/>
            <xdr:cNvSpPr>
              <a:spLocks noTextEdit="1"/>
            </xdr:cNvSpPr>
          </xdr:nvSpPr>
          <xdr:spPr>
            <a:xfrm>
              <a:off x="14982980" y="7806464"/>
              <a:ext cx="1823218" cy="253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my%20dataset.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5.649148032404" createdVersion="8" refreshedVersion="8" minRefreshableVersion="3" recordCount="26" xr:uid="{9254A237-9638-4EB0-AABD-60162FAB7341}">
  <cacheSource type="worksheet">
    <worksheetSource ref="A190:I216" sheet="daily excel report"/>
  </cacheSource>
  <cacheFields count="9">
    <cacheField name="Student Name" numFmtId="0">
      <sharedItems count="23">
        <s v="Mohammed Singh"/>
        <s v="Deepika Tiwari"/>
        <s v="Harsh Mehta"/>
        <s v="Aryan Tiwari"/>
        <s v="Kavya Singh"/>
        <s v="Sai Nair"/>
        <s v="Sai Bhatia"/>
        <s v="Priya Mishra"/>
        <s v="sneha Mehta"/>
        <s v="Aanya Chauhan"/>
        <s v="Ishaan Chauhan"/>
        <s v="Krishna Bose"/>
        <s v="Nandini Gupta"/>
        <s v="Varun Desai"/>
        <s v="Rahul Chopra"/>
        <s v="Nandini Mehta"/>
        <s v="Ayaan Dhawan"/>
        <s v="Rahul Dubey"/>
        <s v="Dhruv Dhawan"/>
        <s v="Ram Sharma"/>
        <s v="Ram Mehta"/>
        <s v="Ganesh Mehta"/>
        <s v="Rahul Bhuta"/>
      </sharedItems>
    </cacheField>
    <cacheField name="Class" numFmtId="0">
      <sharedItems count="11">
        <s v="6A"/>
        <s v="10A"/>
        <s v="8B"/>
        <s v="8A"/>
        <s v="7B"/>
        <s v="6B"/>
        <s v="7A"/>
        <s v="9B"/>
        <s v="9A"/>
        <s v="11A"/>
        <s v="11B"/>
      </sharedItems>
    </cacheField>
    <cacheField name="Mathematics" numFmtId="0">
      <sharedItems containsSemiMixedTypes="0" containsString="0" containsNumber="1" containsInteger="1" minValue="20" maxValue="99"/>
    </cacheField>
    <cacheField name="Science" numFmtId="0">
      <sharedItems containsSemiMixedTypes="0" containsString="0" containsNumber="1" containsInteger="1" minValue="29" maxValue="94"/>
    </cacheField>
    <cacheField name="English" numFmtId="0">
      <sharedItems containsSemiMixedTypes="0" containsString="0" containsNumber="1" containsInteger="1" minValue="10" maxValue="99"/>
    </cacheField>
    <cacheField name="Hindi" numFmtId="0">
      <sharedItems containsSemiMixedTypes="0" containsString="0" containsNumber="1" containsInteger="1" minValue="20" maxValue="96"/>
    </cacheField>
    <cacheField name="Social Studies" numFmtId="0">
      <sharedItems containsSemiMixedTypes="0" containsString="0" containsNumber="1" containsInteger="1" minValue="23" maxValue="99"/>
    </cacheField>
    <cacheField name="Computer Science" numFmtId="0">
      <sharedItems containsSemiMixedTypes="0" containsString="0" containsNumber="1" containsInteger="1" minValue="23" maxValue="99"/>
    </cacheField>
    <cacheField name="Total Marks" numFmtId="0">
      <sharedItems containsSemiMixedTypes="0" containsString="0" containsNumber="1" containsInteger="1" minValue="247" maxValue="5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5.643887615741" createdVersion="8" refreshedVersion="8" minRefreshableVersion="3" recordCount="23" xr:uid="{2F4C233C-19B7-49BB-A8C2-FFA37AFA7CEA}">
  <cacheSource type="worksheet">
    <worksheetSource ref="A190:I213" sheet="daily excel report"/>
  </cacheSource>
  <cacheFields count="9">
    <cacheField name="Student Name" numFmtId="0">
      <sharedItems count="23">
        <s v="Mohammed Singh"/>
        <s v="Deepika Tiwari"/>
        <s v="Harsh Mehta"/>
        <s v="Aryan Tiwari"/>
        <s v="Kavya Singh"/>
        <s v="Sai Nair"/>
        <s v="Sai Bhatia"/>
        <s v="Priya Mishra"/>
        <s v="sneha Mehta"/>
        <s v="Aanya Chauhan"/>
        <s v="Ishaan Chauhan"/>
        <s v="Krishna Bose"/>
        <s v="Nandini Gupta"/>
        <s v="Varun Desai"/>
        <s v="Rahul Chopra"/>
        <s v="Nandini Mehta"/>
        <s v="Ayaan Dhawan"/>
        <s v="Rahul Dubey"/>
        <s v="Dhruv Dhawan"/>
        <s v="Ram Sharma"/>
        <s v="Ram Mehta"/>
        <s v="Ganesh Mehta"/>
        <s v="Rahul Bhuta"/>
      </sharedItems>
    </cacheField>
    <cacheField name="Class" numFmtId="0">
      <sharedItems count="11">
        <s v="6A"/>
        <s v="10A"/>
        <s v="8B"/>
        <s v="8A"/>
        <s v="7B"/>
        <s v="6B"/>
        <s v="7A"/>
        <s v="9B"/>
        <s v="9A"/>
        <s v="11A"/>
        <s v="11B"/>
      </sharedItems>
    </cacheField>
    <cacheField name="Mathematics" numFmtId="0">
      <sharedItems containsSemiMixedTypes="0" containsString="0" containsNumber="1" containsInteger="1" minValue="20" maxValue="99"/>
    </cacheField>
    <cacheField name="Science" numFmtId="0">
      <sharedItems containsSemiMixedTypes="0" containsString="0" containsNumber="1" containsInteger="1" minValue="29" maxValue="94"/>
    </cacheField>
    <cacheField name="English" numFmtId="0">
      <sharedItems containsSemiMixedTypes="0" containsString="0" containsNumber="1" containsInteger="1" minValue="10" maxValue="99"/>
    </cacheField>
    <cacheField name="Hindi" numFmtId="0">
      <sharedItems containsSemiMixedTypes="0" containsString="0" containsNumber="1" containsInteger="1" minValue="20" maxValue="96"/>
    </cacheField>
    <cacheField name="Social Studies" numFmtId="0">
      <sharedItems containsSemiMixedTypes="0" containsString="0" containsNumber="1" containsInteger="1" minValue="23" maxValue="99"/>
    </cacheField>
    <cacheField name="Computer Science" numFmtId="0">
      <sharedItems containsSemiMixedTypes="0" containsString="0" containsNumber="1" containsInteger="1" minValue="23" maxValue="99"/>
    </cacheField>
    <cacheField name="Total Marks" numFmtId="0">
      <sharedItems containsSemiMixedTypes="0" containsString="0" containsNumber="1" containsInteger="1" minValue="247" maxValue="5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6.512579282411" createdVersion="8" refreshedVersion="8" minRefreshableVersion="3" recordCount="150" xr:uid="{EFF739A2-A9F2-4102-A957-4D155E01205E}">
  <cacheSource type="worksheet">
    <worksheetSource name="Student_Dataset" r:id="rId2"/>
  </cacheSource>
  <cacheFields count="13">
    <cacheField name="Student ID" numFmtId="0">
      <sharedItems/>
    </cacheField>
    <cacheField name="Student Name" numFmtId="0">
      <sharedItems count="138">
        <s v="Mohammed Singh"/>
        <s v="Deepika Tiwari"/>
        <s v="Sneha Mehta"/>
        <s v="Aryan Tiwari"/>
        <s v="Kavya Singh"/>
        <s v="Sai Nair"/>
        <s v="Sai Bhatia"/>
        <s v="Priya Mishra"/>
        <s v="Kavya Chauhan"/>
        <s v="Aanya Chauhan"/>
        <s v="Ishaan Chauhan"/>
        <s v="Krishna Bose"/>
        <s v="Nandini Gupta"/>
        <s v="Varun Desai"/>
        <s v="Rahul Chopra"/>
        <s v="Nandini Mehta"/>
        <s v="Ayaan Dhawan"/>
        <s v="Rahul Dubey"/>
        <s v="Dhruv Dhawan"/>
        <s v="Ayaan Joshi"/>
        <s v="Arjun Jain"/>
        <s v="Ritvik Chauhan"/>
        <s v="Advik Singh"/>
        <s v="Imran Desai"/>
        <s v="Advik Nair"/>
        <s v="Arjun Pandey"/>
        <s v="Shreya Dubey"/>
        <s v="Dhruv Verma"/>
        <s v="Ishita Patel"/>
        <s v="Aanya Singh"/>
        <s v="Dhruv Shah"/>
        <s v="Ananya Dhawan"/>
        <s v="Aarush Kumar"/>
        <s v="Sakshi Jain"/>
        <s v="Reyansh Saxena"/>
        <s v="Darsh Verma"/>
        <s v="Sneha Sharma"/>
        <s v="Krishna Verma"/>
        <s v="Riya Malhotra"/>
        <s v="Vivaan Patel"/>
        <s v="Aditya Bhatia"/>
        <s v="Kabir Sharma"/>
        <s v="Zaid Bose"/>
        <s v="Aditya Singh"/>
        <s v="Kavya Chopra"/>
        <s v="Priya Tiwari"/>
        <s v="Faraz Tiwari"/>
        <s v="Imran Saxena"/>
        <s v="Nisha Kapoor"/>
        <s v="Kiara Kapoor"/>
        <s v="Imran Yadav"/>
        <s v="Ruhi Bhatia"/>
        <s v="Ritvik Kumar"/>
        <s v="Sneha Joshi"/>
        <s v="Nisha Arora"/>
        <s v="Mohammed Chauhan"/>
        <s v="Aryan Kumar"/>
        <s v="Vihaan Mehta"/>
        <s v="Rohan Malhotra"/>
        <s v="Navya Sharma"/>
        <s v="Aanya Reddy"/>
        <s v="Vihaan Chauhan"/>
        <s v="Darsh Malhotra"/>
        <s v="Kabir Desai"/>
        <s v="Nandini Iyer"/>
        <s v="Aanya Jain"/>
        <s v="Riya Nair"/>
        <s v="Navya Singh"/>
        <s v="Ruhi Kapoor"/>
        <s v="Sai Chauhan"/>
        <s v="Ananya Patel"/>
        <s v="Aryan Dubey"/>
        <s v="Aryan Joshi"/>
        <s v="Aryan Pandey"/>
        <s v="Ayaan Saxena"/>
        <s v="Reyansh Arora"/>
        <s v="Sameer Nair"/>
        <s v="Reyansh Bhatia"/>
        <s v="Ishaan Kumar"/>
        <s v="Varun Bose"/>
        <s v="Ruhi Saxena"/>
        <s v="Atharva Nair"/>
        <s v="Aditya Joshi"/>
        <s v="Nisha Singh"/>
        <s v="Shaurya Kapoor"/>
        <s v="Darsh Bose"/>
        <s v="Nandini Chauhan"/>
        <s v="Kiara Bose"/>
        <s v="Riya Tiwari"/>
        <s v="Pranav Shah"/>
        <s v="Ayaan Malhotra"/>
        <s v="Ishita Mishra"/>
        <s v="Pranav Pandey"/>
        <s v="Sneha Tiwari"/>
        <s v="Sameer Yadav"/>
        <s v="Sneha Kumar"/>
        <s v="Diya Dhawan"/>
        <s v="Pooja Nair"/>
        <s v="Sameer Dhawan"/>
        <s v="Deepika Agarwal"/>
        <s v="Zaid Kumar"/>
        <s v="Imran Bhatia"/>
        <s v="Mohammed Shah"/>
        <s v="Shaurya Jain"/>
        <s v="Meera Chauhan"/>
        <s v="Deepika Yadav"/>
        <s v="Reyansh Joshi"/>
        <s v="Aarav Reddy"/>
        <s v="Ruhi Chauhan"/>
        <s v="Rahul Kumar"/>
        <s v="Sakshi Chopra"/>
        <s v="Nikhil Bhatia"/>
        <s v="Sneha Mishra"/>
        <s v="Ruhi Chopra"/>
        <s v="Ayaan Kumar"/>
        <s v="Sakshi Kumar"/>
        <s v="Navya Iyer"/>
        <s v="Ritvik Bhatia"/>
        <s v="Krishna Kapoor"/>
        <s v="Varun Kumar"/>
        <s v="Ayaan Shah"/>
        <s v="Atharva Chauhan"/>
        <s v="Varun Mishra"/>
        <s v="Meera Desai"/>
        <s v="Darsh Iyer"/>
        <s v="Reyansh Kapoor"/>
        <s v="Meera Srivastava"/>
        <s v="Ishaan Shah"/>
        <s v="Nikhil Saxena"/>
        <s v="Faraz Malhotra"/>
        <s v="Dhruv Kumar"/>
        <s v="Aditi Joshi"/>
        <s v="Diya Mishra"/>
        <s v="Sai Saxena"/>
        <s v="Priya Yadav"/>
        <s v="Darsh Pandey"/>
        <s v="Ayaan Mishra"/>
        <s v="Aanya Iyer"/>
      </sharedItems>
    </cacheField>
    <cacheField name="Class" numFmtId="0">
      <sharedItems count="10">
        <s v="6A"/>
        <s v="10A"/>
        <s v="8B"/>
        <s v="8A"/>
        <s v="7B"/>
        <s v="6B"/>
        <s v="7A"/>
        <s v="9B"/>
        <s v="9A"/>
        <s v="10B"/>
      </sharedItems>
    </cacheField>
    <cacheField name="Mathematics" numFmtId="0">
      <sharedItems containsSemiMixedTypes="0" containsString="0" containsNumber="1" containsInteger="1" minValue="35" maxValue="100"/>
    </cacheField>
    <cacheField name="Science" numFmtId="0">
      <sharedItems containsSemiMixedTypes="0" containsString="0" containsNumber="1" containsInteger="1" minValue="35" maxValue="100"/>
    </cacheField>
    <cacheField name="English" numFmtId="0">
      <sharedItems containsSemiMixedTypes="0" containsString="0" containsNumber="1" containsInteger="1" minValue="35" maxValue="100"/>
    </cacheField>
    <cacheField name="Hindi" numFmtId="0">
      <sharedItems containsSemiMixedTypes="0" containsString="0" containsNumber="1" containsInteger="1" minValue="36" maxValue="98"/>
    </cacheField>
    <cacheField name="Social Studies" numFmtId="0">
      <sharedItems containsSemiMixedTypes="0" containsString="0" containsNumber="1" containsInteger="1" minValue="35" maxValue="100"/>
    </cacheField>
    <cacheField name="Computer Science" numFmtId="0">
      <sharedItems containsString="0" containsBlank="1" containsNumber="1" containsInteger="1" minValue="35" maxValue="100"/>
    </cacheField>
    <cacheField name="Obtained Marks" numFmtId="0">
      <sharedItems containsSemiMixedTypes="0" containsString="0" containsNumber="1" containsInteger="1" minValue="281" maxValue="514"/>
    </cacheField>
    <cacheField name="Total Marks" numFmtId="0">
      <sharedItems containsSemiMixedTypes="0" containsString="0" containsNumber="1" containsInteger="1" minValue="500" maxValue="500"/>
    </cacheField>
    <cacheField name="Percentage" numFmtId="0">
      <sharedItems containsSemiMixedTypes="0" containsString="0" containsNumber="1" minValue="56.2" maxValue="102.8"/>
    </cacheField>
    <cacheField name="Grade" numFmtId="0">
      <sharedItems count="4">
        <s v="C Grade"/>
        <s v="B Grade"/>
        <s v="A Grade"/>
        <s v="D Grad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4.452856944445" createdVersion="8" refreshedVersion="8" minRefreshableVersion="3" recordCount="37" xr:uid="{3244A41A-9608-48C3-B138-B3F090F91A7F}">
  <cacheSource type="worksheet">
    <worksheetSource ref="B3:F40" sheet=" disabilties 2018"/>
  </cacheSource>
  <cacheFields count="5">
    <cacheField name="Primary" numFmtId="2">
      <sharedItems containsSemiMixedTypes="0" containsString="0" containsNumber="1" minValue="0.33691641264238731" maxValue="2.5719731713609733" count="37">
        <n v="0.66399316284267962"/>
        <n v="1.4052682133366987"/>
        <n v="1.1433322939403388"/>
        <n v="1.3111936930899213"/>
        <n v="0.65796918964061646"/>
        <n v="1.7308013704353638"/>
        <n v="1.4595551037076937"/>
        <n v="1.1753183153770812"/>
        <n v="0.33691641264238731"/>
        <n v="0.57027264306536374"/>
        <n v="1.3635960205588322"/>
        <n v="1.1417005603780608"/>
        <n v="0.60803479687380813"/>
        <n v="0.89204725103277405"/>
        <n v="1.8463122858333489"/>
        <n v="1.1730014569571854"/>
        <n v="0.93506104217627661"/>
        <n v="2.5719731713609733"/>
        <n v="2.2822543083372149"/>
        <n v="0.80885210056815748"/>
        <n v="1.9206984452406644"/>
        <n v="0.99424993650142768"/>
        <n v="0.63474977059363313"/>
        <n v="1.3913424337542886"/>
        <n v="0.4357897216442228"/>
        <n v="1.5256218828297998"/>
        <n v="0.61650010178067716"/>
        <n v="1.6509240942985386"/>
        <n v="0.74262056932514675"/>
        <n v="1.0726502082093992"/>
        <n v="1.450914017164757"/>
        <n v="1.0100104412144035"/>
        <n v="0.55976321313452759"/>
        <n v="0.62864566983795445"/>
        <n v="0.39159568975443781"/>
        <n v="1.105681328212182"/>
        <n v="1.0470807513478242"/>
      </sharedItems>
    </cacheField>
    <cacheField name="Upper Primary" numFmtId="2">
      <sharedItems containsSemiMixedTypes="0" containsString="0" containsNumber="1" minValue="0.34526291946196946" maxValue="3.8852508553288541" count="37">
        <n v="0.92522042015892014"/>
        <n v="1.5666749655232495"/>
        <n v="1.2447581849765985"/>
        <n v="0.86770043075690939"/>
        <n v="0.60228558218454631"/>
        <n v="3.1421431183713273"/>
        <n v="1.4522618116558506"/>
        <n v="1.0916139563354417"/>
        <n v="0.56762575846545316"/>
        <n v="0.82974822171329088"/>
        <n v="1.8585880770339462"/>
        <n v="1.4122555376843386"/>
        <n v="0.71195878082496344"/>
        <n v="0.96171676856318766"/>
        <n v="1.7552891774775619"/>
        <n v="1.0458741278178099"/>
        <n v="1.2639894267198304"/>
        <n v="3.8852508553288541"/>
        <n v="2.2872519340733266"/>
        <n v="0.95843005356424837"/>
        <n v="1.8334398724988088"/>
        <n v="0.69381240684315348"/>
        <n v="0.40333010376982131"/>
        <n v="2.3240117197686727"/>
        <n v="0.54513737461840384"/>
        <n v="2.0429038422144408"/>
        <n v="0.9542999919400339"/>
        <n v="1.6946776837151054"/>
        <n v="0.86776614586620282"/>
        <n v="0.87685758711223261"/>
        <n v="1.9942038017083366"/>
        <n v="0.88850229432915084"/>
        <n v="0.61742442982239154"/>
        <n v="0.45269188485959561"/>
        <n v="0.34526291946196946"/>
        <n v="0.92262346149062902"/>
        <n v="1.1414566637372259"/>
      </sharedItems>
    </cacheField>
    <cacheField name="Elementary" numFmtId="2">
      <sharedItems containsSemiMixedTypes="0" containsString="0" containsNumber="1" minValue="0.37501013540906508" maxValue="3.0695778218402352" count="37">
        <n v="0.76235757029264695"/>
        <n v="1.4651059858647866"/>
        <n v="1.1768883292212404"/>
        <n v="1.1640528362766955"/>
        <n v="0.63986296187030967"/>
        <n v="2.3047843331680711"/>
        <n v="1.4567897963826826"/>
        <n v="1.148170207133876"/>
        <n v="0.41843898053048378"/>
        <n v="0.66918557491009645"/>
        <n v="1.5468422871313292"/>
        <n v="1.2452508200447376"/>
        <n v="0.64611522493599449"/>
        <n v="0.91832562143548901"/>
        <n v="1.8148752001807056"/>
        <n v="1.1309414823870778"/>
        <n v="1.0514594397620192"/>
        <n v="3.0695778218402352"/>
        <n v="2.2842988853722308"/>
        <n v="0.86280762551233359"/>
        <n v="1.888348287250708"/>
        <n v="0.89902906533167515"/>
        <n v="0.56833266019192707"/>
        <n v="1.6920649523442097"/>
        <n v="0.47200157552681676"/>
        <n v="1.7162938419888596"/>
        <n v="0.74335040375791472"/>
        <n v="1.6673663325034398"/>
        <n v="0.7851434343190562"/>
        <n v="0.9900777227137374"/>
        <n v="1.6515985187219178"/>
        <n v="0.96671819374180257"/>
        <n v="0.58119966231563924"/>
        <n v="0.57408355393264177"/>
        <n v="0.37501013540906508"/>
        <n v="1.0378240323967682"/>
        <n v="1.0799660310349526"/>
      </sharedItems>
    </cacheField>
    <cacheField name="Secondary" numFmtId="2">
      <sharedItems containsSemiMixedTypes="0" containsString="0" containsNumber="1" minValue="8.5433065361322322E-2" maxValue="2.9539925682358916" count="37">
        <n v="0.84013050570962478"/>
        <n v="1.1318376607007816"/>
        <n v="0.71860070280728072"/>
        <n v="0.28280230618299207"/>
        <n v="0.21505006259745318"/>
        <n v="1.9049208468434102"/>
        <n v="0.45997536614620033"/>
        <n v="1.4159685669805027"/>
        <n v="0.39726680438582551"/>
        <n v="0.81021314552245738"/>
        <n v="1.1665679204037021"/>
        <n v="0.73047745474626824"/>
        <n v="0.5209469496296758"/>
        <n v="0.794788378535077"/>
        <n v="1.1902089823817945"/>
        <n v="0.29244981643785645"/>
        <n v="0.76116112020367332"/>
        <n v="1.5608775910471868"/>
        <n v="1.4758497316636852"/>
        <n v="0.38228751305145292"/>
        <n v="1.4121940208734221"/>
        <n v="0.69537088414814119"/>
        <n v="0.2224832182722698"/>
        <n v="2.9539925682358916"/>
        <n v="0.34917656868876384"/>
        <n v="1.104182821401793"/>
        <n v="1.1234367271956476"/>
        <n v="0.96102783917429413"/>
        <n v="0.42362670011884324"/>
        <n v="0.81087433406455656"/>
        <n v="0.61480032358935266"/>
        <n v="0.82163743244704368"/>
        <n v="0.44194832724513661"/>
        <n v="8.5433065361322322E-2"/>
        <n v="0.22374897292262727"/>
        <n v="0.69841438501471209"/>
        <n v="0.62173434382995474"/>
      </sharedItems>
    </cacheField>
    <cacheField name="Higher Secondary" numFmtId="2">
      <sharedItems containsSemiMixedTypes="0" containsString="0" containsNumber="1" minValue="8.9556159672662288E-4" maxValue="1.555138819009285" count="37">
        <n v="0.53105737316263635"/>
        <n v="0.99340895242035121"/>
        <n v="0.36064721554357004"/>
        <n v="4.249165426348582E-2"/>
        <n v="0.14212091505057753"/>
        <n v="0.55658627087198509"/>
        <n v="0.2546305578541771"/>
        <n v="1.0565071234192414"/>
        <n v="0.11052777010223819"/>
        <n v="0.62730177696198852"/>
        <n v="0.35533653222668915"/>
        <n v="0.53717795267496826"/>
        <n v="0.25739567765046378"/>
        <n v="0.42024492399476571"/>
        <n v="0.51785883318082859"/>
        <n v="0.10226965251248561"/>
        <n v="8.9556159672662288E-4"/>
        <n v="1.0710470540426764"/>
        <n v="0.73092736409319325"/>
        <n v="0.25312968286269044"/>
        <n v="0.45787475739835065"/>
        <n v="0.25186537795548281"/>
        <n v="0.11874531869416688"/>
        <n v="1.555138819009285"/>
        <n v="4.5729217703739999E-2"/>
        <n v="0.41633654906712653"/>
        <n v="1.0401049475262369"/>
        <n v="0.65769699969943951"/>
        <n v="0.28087654680834151"/>
        <n v="0.36832412523020258"/>
        <n v="0.29663795170386431"/>
        <n v="4.186141849581819E-2"/>
        <n v="0.28458281188390394"/>
        <n v="6.6828718616746413E-2"/>
        <n v="0.13607080890515083"/>
        <n v="0.34591867592066738"/>
        <n v="0.31354640648477516"/>
      </sharedItems>
    </cacheField>
  </cacheFields>
  <extLst>
    <ext xmlns:x14="http://schemas.microsoft.com/office/spreadsheetml/2009/9/main" uri="{725AE2AE-9491-48be-B2B4-4EB974FC3084}">
      <x14:pivotCacheDefinition pivotCacheId="91306160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mehta" refreshedDate="46154.448609375002" createdVersion="8" refreshedVersion="8" minRefreshableVersion="3" recordCount="37" xr:uid="{4A29BE8A-A5A4-40EF-A23F-C0530E6635EE}">
  <cacheSource type="worksheet">
    <worksheetSource ref="B3:F40" sheet="primary school"/>
  </cacheSource>
  <cacheFields count="5">
    <cacheField name="Primary" numFmtId="2">
      <sharedItems containsSemiMixedTypes="0" containsString="0" containsNumber="1" minValue="0.31057187803200859" maxValue="2.6344967219436946"/>
    </cacheField>
    <cacheField name="Upper Primary" numFmtId="2">
      <sharedItems containsSemiMixedTypes="0" containsString="0" containsNumber="1" minValue="0.29330462165728921" maxValue="2.9531739362921092"/>
    </cacheField>
    <cacheField name="Elementary" numFmtId="2">
      <sharedItems containsSemiMixedTypes="0" containsString="0" containsNumber="1" minValue="0.30438630642481812" maxValue="2.6612244897959183"/>
    </cacheField>
    <cacheField name="Secondary" numFmtId="2">
      <sharedItems containsSemiMixedTypes="0" containsString="0" containsNumber="1" minValue="0.11177273393109829" maxValue="3.0012535948676353"/>
    </cacheField>
    <cacheField name="Higher Secondary" numFmtId="2">
      <sharedItems containsSemiMixedTypes="0" containsString="0" containsNumber="1" minValue="2.4146917274518874E-3" maxValue="2.00427578834847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50"/>
    <n v="60"/>
    <n v="35"/>
    <n v="54"/>
    <n v="86"/>
    <n v="38"/>
    <n v="323"/>
  </r>
  <r>
    <x v="1"/>
    <x v="0"/>
    <n v="38"/>
    <n v="46"/>
    <n v="62"/>
    <n v="64"/>
    <n v="99"/>
    <n v="38"/>
    <n v="347"/>
  </r>
  <r>
    <x v="2"/>
    <x v="1"/>
    <n v="88"/>
    <n v="42"/>
    <n v="45"/>
    <n v="32"/>
    <n v="34"/>
    <n v="56"/>
    <n v="297"/>
  </r>
  <r>
    <x v="3"/>
    <x v="2"/>
    <n v="70"/>
    <n v="54"/>
    <n v="62"/>
    <n v="78"/>
    <n v="48"/>
    <n v="46"/>
    <n v="358"/>
  </r>
  <r>
    <x v="4"/>
    <x v="2"/>
    <n v="79"/>
    <n v="32"/>
    <n v="10"/>
    <n v="45"/>
    <n v="23"/>
    <n v="83"/>
    <n v="272"/>
  </r>
  <r>
    <x v="5"/>
    <x v="3"/>
    <n v="81"/>
    <n v="59"/>
    <n v="43"/>
    <n v="40"/>
    <n v="64"/>
    <n v="72"/>
    <n v="359"/>
  </r>
  <r>
    <x v="6"/>
    <x v="4"/>
    <n v="47"/>
    <n v="83"/>
    <n v="70"/>
    <n v="93"/>
    <n v="81"/>
    <n v="55"/>
    <n v="429"/>
  </r>
  <r>
    <x v="7"/>
    <x v="4"/>
    <n v="69"/>
    <n v="34"/>
    <n v="25"/>
    <n v="20"/>
    <n v="34"/>
    <n v="65"/>
    <n v="247"/>
  </r>
  <r>
    <x v="8"/>
    <x v="1"/>
    <n v="88"/>
    <n v="42"/>
    <n v="45"/>
    <n v="32"/>
    <n v="34"/>
    <n v="56"/>
    <n v="297"/>
  </r>
  <r>
    <x v="9"/>
    <x v="5"/>
    <n v="62"/>
    <n v="75"/>
    <n v="85"/>
    <n v="96"/>
    <n v="91"/>
    <n v="92"/>
    <n v="501"/>
  </r>
  <r>
    <x v="10"/>
    <x v="6"/>
    <n v="66"/>
    <n v="68"/>
    <n v="89"/>
    <n v="86"/>
    <n v="81"/>
    <n v="63"/>
    <n v="453"/>
  </r>
  <r>
    <x v="11"/>
    <x v="7"/>
    <n v="46"/>
    <n v="29"/>
    <n v="24"/>
    <n v="58"/>
    <n v="39"/>
    <n v="59"/>
    <n v="255"/>
  </r>
  <r>
    <x v="12"/>
    <x v="8"/>
    <n v="83"/>
    <n v="94"/>
    <n v="67"/>
    <n v="36"/>
    <n v="49"/>
    <n v="69"/>
    <n v="398"/>
  </r>
  <r>
    <x v="13"/>
    <x v="2"/>
    <n v="49"/>
    <n v="72"/>
    <n v="54"/>
    <n v="32"/>
    <n v="23"/>
    <n v="23"/>
    <n v="253"/>
  </r>
  <r>
    <x v="14"/>
    <x v="3"/>
    <n v="99"/>
    <n v="57"/>
    <n v="99"/>
    <n v="48"/>
    <n v="73"/>
    <n v="99"/>
    <n v="475"/>
  </r>
  <r>
    <x v="15"/>
    <x v="6"/>
    <n v="82"/>
    <n v="55"/>
    <n v="35"/>
    <n v="76"/>
    <n v="97"/>
    <n v="37"/>
    <n v="382"/>
  </r>
  <r>
    <x v="16"/>
    <x v="2"/>
    <n v="30"/>
    <n v="65"/>
    <n v="42"/>
    <n v="65"/>
    <n v="45"/>
    <n v="50"/>
    <n v="297"/>
  </r>
  <r>
    <x v="17"/>
    <x v="5"/>
    <n v="51"/>
    <n v="51"/>
    <n v="95"/>
    <n v="56"/>
    <n v="68"/>
    <n v="89"/>
    <n v="410"/>
  </r>
  <r>
    <x v="18"/>
    <x v="1"/>
    <n v="60"/>
    <n v="74"/>
    <n v="87"/>
    <n v="96"/>
    <n v="91"/>
    <n v="92"/>
    <n v="500"/>
  </r>
  <r>
    <x v="19"/>
    <x v="1"/>
    <n v="50"/>
    <n v="45"/>
    <n v="76"/>
    <n v="67"/>
    <n v="87"/>
    <n v="89"/>
    <n v="414"/>
  </r>
  <r>
    <x v="20"/>
    <x v="9"/>
    <n v="45"/>
    <n v="54"/>
    <n v="54"/>
    <n v="44"/>
    <n v="65"/>
    <n v="78"/>
    <n v="340"/>
  </r>
  <r>
    <x v="21"/>
    <x v="10"/>
    <n v="20"/>
    <n v="56"/>
    <n v="67"/>
    <n v="89"/>
    <n v="67"/>
    <n v="87"/>
    <n v="386"/>
  </r>
  <r>
    <x v="22"/>
    <x v="9"/>
    <n v="20"/>
    <n v="45"/>
    <n v="65"/>
    <n v="67"/>
    <n v="56"/>
    <n v="67"/>
    <n v="320"/>
  </r>
  <r>
    <x v="2"/>
    <x v="1"/>
    <n v="88"/>
    <n v="42"/>
    <n v="45"/>
    <n v="32"/>
    <n v="34"/>
    <n v="56"/>
    <n v="297"/>
  </r>
  <r>
    <x v="2"/>
    <x v="1"/>
    <n v="88"/>
    <n v="42"/>
    <n v="45"/>
    <n v="32"/>
    <n v="34"/>
    <n v="56"/>
    <n v="297"/>
  </r>
  <r>
    <x v="2"/>
    <x v="1"/>
    <n v="88"/>
    <n v="42"/>
    <n v="45"/>
    <n v="32"/>
    <n v="34"/>
    <n v="56"/>
    <n v="2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n v="50"/>
    <n v="60"/>
    <n v="35"/>
    <n v="54"/>
    <n v="86"/>
    <n v="38"/>
    <n v="323"/>
  </r>
  <r>
    <x v="1"/>
    <x v="0"/>
    <n v="38"/>
    <n v="46"/>
    <n v="62"/>
    <n v="64"/>
    <n v="99"/>
    <n v="38"/>
    <n v="347"/>
  </r>
  <r>
    <x v="2"/>
    <x v="1"/>
    <n v="88"/>
    <n v="42"/>
    <n v="45"/>
    <n v="32"/>
    <n v="34"/>
    <n v="56"/>
    <n v="297"/>
  </r>
  <r>
    <x v="3"/>
    <x v="2"/>
    <n v="70"/>
    <n v="54"/>
    <n v="62"/>
    <n v="78"/>
    <n v="48"/>
    <n v="46"/>
    <n v="358"/>
  </r>
  <r>
    <x v="4"/>
    <x v="2"/>
    <n v="79"/>
    <n v="32"/>
    <n v="10"/>
    <n v="45"/>
    <n v="23"/>
    <n v="83"/>
    <n v="272"/>
  </r>
  <r>
    <x v="5"/>
    <x v="3"/>
    <n v="81"/>
    <n v="59"/>
    <n v="43"/>
    <n v="40"/>
    <n v="64"/>
    <n v="72"/>
    <n v="359"/>
  </r>
  <r>
    <x v="6"/>
    <x v="4"/>
    <n v="47"/>
    <n v="83"/>
    <n v="70"/>
    <n v="93"/>
    <n v="81"/>
    <n v="55"/>
    <n v="429"/>
  </r>
  <r>
    <x v="7"/>
    <x v="4"/>
    <n v="69"/>
    <n v="34"/>
    <n v="25"/>
    <n v="20"/>
    <n v="34"/>
    <n v="65"/>
    <n v="247"/>
  </r>
  <r>
    <x v="8"/>
    <x v="1"/>
    <n v="88"/>
    <n v="42"/>
    <n v="45"/>
    <n v="32"/>
    <n v="34"/>
    <n v="56"/>
    <n v="297"/>
  </r>
  <r>
    <x v="9"/>
    <x v="5"/>
    <n v="62"/>
    <n v="75"/>
    <n v="85"/>
    <n v="96"/>
    <n v="91"/>
    <n v="92"/>
    <n v="501"/>
  </r>
  <r>
    <x v="10"/>
    <x v="6"/>
    <n v="66"/>
    <n v="68"/>
    <n v="89"/>
    <n v="86"/>
    <n v="81"/>
    <n v="63"/>
    <n v="453"/>
  </r>
  <r>
    <x v="11"/>
    <x v="7"/>
    <n v="46"/>
    <n v="29"/>
    <n v="24"/>
    <n v="58"/>
    <n v="39"/>
    <n v="59"/>
    <n v="255"/>
  </r>
  <r>
    <x v="12"/>
    <x v="8"/>
    <n v="83"/>
    <n v="94"/>
    <n v="67"/>
    <n v="36"/>
    <n v="49"/>
    <n v="69"/>
    <n v="398"/>
  </r>
  <r>
    <x v="13"/>
    <x v="2"/>
    <n v="49"/>
    <n v="72"/>
    <n v="54"/>
    <n v="32"/>
    <n v="23"/>
    <n v="23"/>
    <n v="253"/>
  </r>
  <r>
    <x v="14"/>
    <x v="3"/>
    <n v="99"/>
    <n v="57"/>
    <n v="99"/>
    <n v="48"/>
    <n v="73"/>
    <n v="99"/>
    <n v="475"/>
  </r>
  <r>
    <x v="15"/>
    <x v="6"/>
    <n v="82"/>
    <n v="55"/>
    <n v="35"/>
    <n v="76"/>
    <n v="97"/>
    <n v="37"/>
    <n v="382"/>
  </r>
  <r>
    <x v="16"/>
    <x v="2"/>
    <n v="30"/>
    <n v="65"/>
    <n v="42"/>
    <n v="65"/>
    <n v="45"/>
    <n v="50"/>
    <n v="297"/>
  </r>
  <r>
    <x v="17"/>
    <x v="5"/>
    <n v="51"/>
    <n v="51"/>
    <n v="95"/>
    <n v="56"/>
    <n v="68"/>
    <n v="89"/>
    <n v="410"/>
  </r>
  <r>
    <x v="18"/>
    <x v="1"/>
    <n v="60"/>
    <n v="74"/>
    <n v="87"/>
    <n v="96"/>
    <n v="91"/>
    <n v="92"/>
    <n v="500"/>
  </r>
  <r>
    <x v="19"/>
    <x v="1"/>
    <n v="50"/>
    <n v="45"/>
    <n v="76"/>
    <n v="67"/>
    <n v="87"/>
    <n v="89"/>
    <n v="414"/>
  </r>
  <r>
    <x v="20"/>
    <x v="9"/>
    <n v="45"/>
    <n v="54"/>
    <n v="54"/>
    <n v="44"/>
    <n v="65"/>
    <n v="78"/>
    <n v="340"/>
  </r>
  <r>
    <x v="21"/>
    <x v="10"/>
    <n v="20"/>
    <n v="56"/>
    <n v="67"/>
    <n v="89"/>
    <n v="67"/>
    <n v="87"/>
    <n v="386"/>
  </r>
  <r>
    <x v="22"/>
    <x v="9"/>
    <n v="20"/>
    <n v="45"/>
    <n v="65"/>
    <n v="67"/>
    <n v="56"/>
    <n v="67"/>
    <n v="3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STU001"/>
    <x v="0"/>
    <x v="0"/>
    <n v="70"/>
    <n v="66"/>
    <n v="63"/>
    <n v="52"/>
    <n v="48"/>
    <n v="46"/>
    <n v="345"/>
    <n v="500"/>
    <n v="69"/>
    <x v="0"/>
  </r>
  <r>
    <s v="STU002"/>
    <x v="1"/>
    <x v="0"/>
    <n v="38"/>
    <n v="46"/>
    <n v="62"/>
    <n v="64"/>
    <n v="99"/>
    <n v="38"/>
    <n v="347"/>
    <n v="500"/>
    <n v="69.399999999999991"/>
    <x v="0"/>
  </r>
  <r>
    <s v="STU003"/>
    <x v="2"/>
    <x v="1"/>
    <n v="88"/>
    <n v="63"/>
    <n v="92"/>
    <n v="70"/>
    <n v="35"/>
    <n v="55"/>
    <n v="403"/>
    <n v="500"/>
    <n v="80.600000000000009"/>
    <x v="1"/>
  </r>
  <r>
    <s v="STU004"/>
    <x v="3"/>
    <x v="2"/>
    <n v="70"/>
    <n v="54"/>
    <n v="62"/>
    <n v="78"/>
    <n v="48"/>
    <n v="46"/>
    <n v="358"/>
    <n v="500"/>
    <n v="71.599999999999994"/>
    <x v="0"/>
  </r>
  <r>
    <s v="STU005"/>
    <x v="4"/>
    <x v="2"/>
    <n v="79"/>
    <n v="68"/>
    <n v="40"/>
    <n v="93"/>
    <n v="50"/>
    <n v="83"/>
    <n v="413"/>
    <n v="500"/>
    <n v="82.6"/>
    <x v="1"/>
  </r>
  <r>
    <s v="STU006"/>
    <x v="5"/>
    <x v="3"/>
    <n v="81"/>
    <n v="59"/>
    <n v="43"/>
    <n v="40"/>
    <n v="64"/>
    <n v="72"/>
    <n v="359"/>
    <n v="500"/>
    <n v="71.8"/>
    <x v="0"/>
  </r>
  <r>
    <s v="STU007"/>
    <x v="6"/>
    <x v="4"/>
    <n v="47"/>
    <n v="83"/>
    <n v="70"/>
    <n v="93"/>
    <n v="81"/>
    <n v="55"/>
    <n v="429"/>
    <n v="500"/>
    <n v="85.8"/>
    <x v="1"/>
  </r>
  <r>
    <s v="STU008"/>
    <x v="7"/>
    <x v="4"/>
    <n v="69"/>
    <n v="44"/>
    <n v="56"/>
    <n v="66"/>
    <n v="55"/>
    <n v="94"/>
    <n v="384"/>
    <n v="500"/>
    <n v="76.8"/>
    <x v="1"/>
  </r>
  <r>
    <s v="STU009"/>
    <x v="8"/>
    <x v="1"/>
    <n v="63"/>
    <n v="76"/>
    <n v="42"/>
    <n v="64"/>
    <n v="39"/>
    <n v="75"/>
    <n v="359"/>
    <n v="500"/>
    <n v="71.8"/>
    <x v="0"/>
  </r>
  <r>
    <s v="STU010"/>
    <x v="9"/>
    <x v="5"/>
    <n v="62"/>
    <n v="75"/>
    <n v="62"/>
    <n v="98"/>
    <n v="85"/>
    <n v="93"/>
    <n v="475"/>
    <n v="500"/>
    <n v="95"/>
    <x v="2"/>
  </r>
  <r>
    <s v="STU011"/>
    <x v="10"/>
    <x v="6"/>
    <n v="66"/>
    <n v="68"/>
    <n v="89"/>
    <n v="86"/>
    <n v="81"/>
    <n v="63"/>
    <n v="453"/>
    <n v="500"/>
    <n v="90.600000000000009"/>
    <x v="2"/>
  </r>
  <r>
    <s v="STU012"/>
    <x v="11"/>
    <x v="7"/>
    <n v="46"/>
    <n v="41"/>
    <n v="49"/>
    <n v="54"/>
    <n v="55"/>
    <n v="89"/>
    <n v="334"/>
    <n v="500"/>
    <n v="66.8"/>
    <x v="0"/>
  </r>
  <r>
    <s v="STU013"/>
    <x v="12"/>
    <x v="8"/>
    <n v="83"/>
    <n v="94"/>
    <n v="67"/>
    <n v="36"/>
    <n v="49"/>
    <n v="69"/>
    <n v="398"/>
    <n v="500"/>
    <n v="79.600000000000009"/>
    <x v="1"/>
  </r>
  <r>
    <s v="STU014"/>
    <x v="13"/>
    <x v="2"/>
    <n v="49"/>
    <n v="72"/>
    <n v="90"/>
    <n v="55"/>
    <n v="93"/>
    <n v="35"/>
    <n v="394"/>
    <n v="500"/>
    <n v="78.8"/>
    <x v="1"/>
  </r>
  <r>
    <s v="STU015"/>
    <x v="14"/>
    <x v="3"/>
    <n v="99"/>
    <n v="57"/>
    <n v="99"/>
    <n v="48"/>
    <n v="73"/>
    <n v="99"/>
    <n v="475"/>
    <n v="500"/>
    <n v="95"/>
    <x v="2"/>
  </r>
  <r>
    <s v="STU016"/>
    <x v="15"/>
    <x v="6"/>
    <n v="82"/>
    <n v="55"/>
    <n v="35"/>
    <n v="76"/>
    <n v="97"/>
    <n v="37"/>
    <n v="382"/>
    <n v="500"/>
    <n v="76.400000000000006"/>
    <x v="1"/>
  </r>
  <r>
    <s v="STU017"/>
    <x v="16"/>
    <x v="2"/>
    <n v="74"/>
    <n v="65"/>
    <n v="42"/>
    <n v="65"/>
    <n v="45"/>
    <m/>
    <n v="291"/>
    <n v="500"/>
    <n v="58.199999999999996"/>
    <x v="3"/>
  </r>
  <r>
    <s v="STU018"/>
    <x v="17"/>
    <x v="5"/>
    <n v="51"/>
    <n v="51"/>
    <n v="95"/>
    <n v="56"/>
    <n v="68"/>
    <n v="89"/>
    <n v="410"/>
    <n v="500"/>
    <n v="82"/>
    <x v="1"/>
  </r>
  <r>
    <s v="STU019"/>
    <x v="18"/>
    <x v="1"/>
    <n v="60"/>
    <n v="74"/>
    <n v="86"/>
    <n v="82"/>
    <n v="91"/>
    <n v="92"/>
    <n v="485"/>
    <n v="500"/>
    <n v="97"/>
    <x v="2"/>
  </r>
  <r>
    <s v="STU020"/>
    <x v="19"/>
    <x v="4"/>
    <n v="43"/>
    <n v="78"/>
    <n v="37"/>
    <n v="64"/>
    <n v="63"/>
    <n v="35"/>
    <n v="320"/>
    <n v="500"/>
    <n v="64"/>
    <x v="0"/>
  </r>
  <r>
    <s v="STU021"/>
    <x v="20"/>
    <x v="0"/>
    <n v="64"/>
    <n v="43"/>
    <n v="39"/>
    <n v="77"/>
    <n v="44"/>
    <n v="100"/>
    <n v="367"/>
    <n v="500"/>
    <n v="73.400000000000006"/>
    <x v="0"/>
  </r>
  <r>
    <s v="STU022"/>
    <x v="21"/>
    <x v="7"/>
    <n v="62"/>
    <n v="51"/>
    <n v="95"/>
    <n v="66"/>
    <n v="95"/>
    <n v="87"/>
    <n v="456"/>
    <n v="500"/>
    <n v="91.2"/>
    <x v="2"/>
  </r>
  <r>
    <s v="STU023"/>
    <x v="22"/>
    <x v="5"/>
    <n v="90"/>
    <n v="80"/>
    <n v="89"/>
    <n v="87"/>
    <n v="94"/>
    <n v="41"/>
    <n v="481"/>
    <n v="500"/>
    <n v="96.2"/>
    <x v="2"/>
  </r>
  <r>
    <s v="STU024"/>
    <x v="23"/>
    <x v="5"/>
    <n v="42"/>
    <n v="86"/>
    <n v="78"/>
    <n v="48"/>
    <n v="66"/>
    <n v="59"/>
    <n v="379"/>
    <n v="500"/>
    <n v="75.8"/>
    <x v="1"/>
  </r>
  <r>
    <s v="STU025"/>
    <x v="24"/>
    <x v="7"/>
    <n v="52"/>
    <n v="89"/>
    <n v="58"/>
    <n v="70"/>
    <n v="94"/>
    <n v="66"/>
    <n v="429"/>
    <n v="500"/>
    <n v="85.8"/>
    <x v="1"/>
  </r>
  <r>
    <s v="STU026"/>
    <x v="25"/>
    <x v="1"/>
    <n v="47"/>
    <n v="41"/>
    <n v="36"/>
    <n v="46"/>
    <n v="65"/>
    <n v="56"/>
    <n v="291"/>
    <n v="500"/>
    <n v="58.199999999999996"/>
    <x v="3"/>
  </r>
  <r>
    <s v="STU027"/>
    <x v="26"/>
    <x v="7"/>
    <n v="62"/>
    <n v="86"/>
    <n v="42"/>
    <n v="56"/>
    <n v="83"/>
    <n v="35"/>
    <n v="364"/>
    <n v="500"/>
    <n v="72.8"/>
    <x v="0"/>
  </r>
  <r>
    <s v="STU028"/>
    <x v="8"/>
    <x v="7"/>
    <n v="71"/>
    <n v="89"/>
    <n v="97"/>
    <n v="54"/>
    <n v="59"/>
    <n v="72"/>
    <n v="442"/>
    <n v="500"/>
    <n v="88.4"/>
    <x v="1"/>
  </r>
  <r>
    <s v="STU029"/>
    <x v="27"/>
    <x v="9"/>
    <n v="42"/>
    <n v="75"/>
    <n v="42"/>
    <n v="41"/>
    <n v="96"/>
    <n v="99"/>
    <n v="395"/>
    <n v="500"/>
    <n v="79"/>
    <x v="1"/>
  </r>
  <r>
    <s v="STU030"/>
    <x v="28"/>
    <x v="0"/>
    <n v="100"/>
    <n v="45"/>
    <n v="58"/>
    <n v="43"/>
    <n v="43"/>
    <n v="65"/>
    <n v="354"/>
    <n v="500"/>
    <n v="70.8"/>
    <x v="0"/>
  </r>
  <r>
    <s v="STU031"/>
    <x v="29"/>
    <x v="9"/>
    <n v="66"/>
    <n v="40"/>
    <n v="45"/>
    <n v="88"/>
    <n v="75"/>
    <n v="68"/>
    <n v="382"/>
    <n v="500"/>
    <n v="76.400000000000006"/>
    <x v="1"/>
  </r>
  <r>
    <s v="STU032"/>
    <x v="30"/>
    <x v="2"/>
    <n v="65"/>
    <n v="56"/>
    <n v="44"/>
    <n v="65"/>
    <n v="56"/>
    <n v="76"/>
    <n v="362"/>
    <n v="500"/>
    <n v="72.399999999999991"/>
    <x v="0"/>
  </r>
  <r>
    <s v="STU033"/>
    <x v="31"/>
    <x v="5"/>
    <n v="36"/>
    <n v="93"/>
    <n v="47"/>
    <n v="44"/>
    <n v="62"/>
    <n v="99"/>
    <n v="381"/>
    <n v="500"/>
    <n v="76.2"/>
    <x v="1"/>
  </r>
  <r>
    <s v="STU034"/>
    <x v="32"/>
    <x v="2"/>
    <n v="43"/>
    <n v="66"/>
    <n v="82"/>
    <n v="71"/>
    <n v="55"/>
    <n v="91"/>
    <n v="408"/>
    <n v="500"/>
    <n v="81.599999999999994"/>
    <x v="1"/>
  </r>
  <r>
    <s v="STU035"/>
    <x v="33"/>
    <x v="3"/>
    <n v="36"/>
    <n v="73"/>
    <n v="48"/>
    <n v="52"/>
    <n v="68"/>
    <n v="49"/>
    <n v="326"/>
    <n v="500"/>
    <n v="65.2"/>
    <x v="0"/>
  </r>
  <r>
    <s v="STU036"/>
    <x v="34"/>
    <x v="1"/>
    <n v="54"/>
    <n v="69"/>
    <n v="71"/>
    <n v="61"/>
    <n v="78"/>
    <n v="61"/>
    <n v="394"/>
    <n v="500"/>
    <n v="78.8"/>
    <x v="1"/>
  </r>
  <r>
    <s v="STU037"/>
    <x v="23"/>
    <x v="3"/>
    <n v="99"/>
    <n v="97"/>
    <n v="67"/>
    <n v="41"/>
    <n v="46"/>
    <n v="89"/>
    <n v="439"/>
    <n v="500"/>
    <n v="87.8"/>
    <x v="1"/>
  </r>
  <r>
    <s v="STU038"/>
    <x v="35"/>
    <x v="0"/>
    <n v="77"/>
    <n v="51"/>
    <n v="68"/>
    <n v="55"/>
    <n v="91"/>
    <n v="89"/>
    <n v="431"/>
    <n v="500"/>
    <n v="86.2"/>
    <x v="1"/>
  </r>
  <r>
    <s v="STU039"/>
    <x v="36"/>
    <x v="5"/>
    <n v="44"/>
    <n v="54"/>
    <n v="39"/>
    <n v="82"/>
    <n v="53"/>
    <n v="90"/>
    <n v="362"/>
    <n v="500"/>
    <n v="72.399999999999991"/>
    <x v="0"/>
  </r>
  <r>
    <s v="STU040"/>
    <x v="37"/>
    <x v="3"/>
    <n v="81"/>
    <n v="40"/>
    <n v="80"/>
    <n v="61"/>
    <n v="66"/>
    <n v="48"/>
    <n v="376"/>
    <n v="500"/>
    <n v="75.2"/>
    <x v="1"/>
  </r>
  <r>
    <s v="STU041"/>
    <x v="38"/>
    <x v="1"/>
    <n v="87"/>
    <n v="54"/>
    <n v="65"/>
    <n v="55"/>
    <n v="57"/>
    <n v="87"/>
    <n v="405"/>
    <n v="500"/>
    <n v="81"/>
    <x v="1"/>
  </r>
  <r>
    <s v="STU042"/>
    <x v="39"/>
    <x v="2"/>
    <n v="87"/>
    <n v="66"/>
    <n v="69"/>
    <n v="55"/>
    <n v="48"/>
    <n v="83"/>
    <n v="408"/>
    <n v="500"/>
    <n v="81.599999999999994"/>
    <x v="1"/>
  </r>
  <r>
    <s v="STU043"/>
    <x v="40"/>
    <x v="7"/>
    <n v="63"/>
    <n v="60"/>
    <n v="93"/>
    <n v="79"/>
    <n v="74"/>
    <n v="64"/>
    <n v="433"/>
    <n v="500"/>
    <n v="86.6"/>
    <x v="1"/>
  </r>
  <r>
    <s v="STU044"/>
    <x v="41"/>
    <x v="4"/>
    <n v="86"/>
    <n v="77"/>
    <n v="70"/>
    <n v="43"/>
    <n v="70"/>
    <n v="79"/>
    <n v="425"/>
    <n v="500"/>
    <n v="85"/>
    <x v="1"/>
  </r>
  <r>
    <s v="STU045"/>
    <x v="42"/>
    <x v="8"/>
    <n v="77"/>
    <n v="38"/>
    <n v="49"/>
    <n v="68"/>
    <n v="57"/>
    <n v="68"/>
    <n v="357"/>
    <n v="500"/>
    <n v="71.399999999999991"/>
    <x v="0"/>
  </r>
  <r>
    <s v="STU046"/>
    <x v="43"/>
    <x v="9"/>
    <n v="90"/>
    <n v="79"/>
    <n v="75"/>
    <n v="90"/>
    <n v="100"/>
    <n v="49"/>
    <n v="483"/>
    <n v="500"/>
    <n v="96.6"/>
    <x v="2"/>
  </r>
  <r>
    <s v="STU047"/>
    <x v="44"/>
    <x v="9"/>
    <n v="59"/>
    <n v="67"/>
    <n v="40"/>
    <n v="90"/>
    <n v="35"/>
    <n v="60"/>
    <n v="351"/>
    <n v="500"/>
    <n v="70.199999999999989"/>
    <x v="0"/>
  </r>
  <r>
    <s v="STU048"/>
    <x v="45"/>
    <x v="5"/>
    <n v="77"/>
    <n v="75"/>
    <n v="50"/>
    <n v="73"/>
    <n v="99"/>
    <m/>
    <n v="374"/>
    <n v="500"/>
    <n v="74.8"/>
    <x v="0"/>
  </r>
  <r>
    <s v="STU049"/>
    <x v="46"/>
    <x v="2"/>
    <n v="86"/>
    <n v="72"/>
    <n v="51"/>
    <n v="59"/>
    <n v="88"/>
    <n v="83"/>
    <n v="439"/>
    <n v="500"/>
    <n v="87.8"/>
    <x v="1"/>
  </r>
  <r>
    <s v="STU050"/>
    <x v="47"/>
    <x v="6"/>
    <n v="73"/>
    <n v="86"/>
    <n v="35"/>
    <n v="73"/>
    <n v="71"/>
    <n v="61"/>
    <n v="399"/>
    <n v="500"/>
    <n v="79.800000000000011"/>
    <x v="1"/>
  </r>
  <r>
    <s v="STU051"/>
    <x v="48"/>
    <x v="9"/>
    <n v="76"/>
    <n v="94"/>
    <n v="91"/>
    <n v="91"/>
    <n v="62"/>
    <n v="100"/>
    <n v="514"/>
    <n v="500"/>
    <n v="102.8"/>
    <x v="2"/>
  </r>
  <r>
    <s v="STU052"/>
    <x v="49"/>
    <x v="6"/>
    <n v="45"/>
    <n v="71"/>
    <n v="100"/>
    <n v="77"/>
    <n v="46"/>
    <n v="65"/>
    <n v="404"/>
    <n v="500"/>
    <n v="80.800000000000011"/>
    <x v="1"/>
  </r>
  <r>
    <s v="STU053"/>
    <x v="50"/>
    <x v="4"/>
    <n v="60"/>
    <n v="53"/>
    <n v="38"/>
    <n v="40"/>
    <n v="66"/>
    <n v="95"/>
    <n v="352"/>
    <n v="500"/>
    <n v="70.399999999999991"/>
    <x v="0"/>
  </r>
  <r>
    <s v="STU054"/>
    <x v="51"/>
    <x v="5"/>
    <n v="93"/>
    <n v="88"/>
    <n v="59"/>
    <n v="84"/>
    <n v="98"/>
    <n v="86"/>
    <n v="508"/>
    <n v="500"/>
    <n v="101.6"/>
    <x v="2"/>
  </r>
  <r>
    <s v="STU055"/>
    <x v="52"/>
    <x v="0"/>
    <n v="48"/>
    <n v="89"/>
    <n v="63"/>
    <n v="57"/>
    <n v="94"/>
    <n v="41"/>
    <n v="392"/>
    <n v="500"/>
    <n v="78.400000000000006"/>
    <x v="1"/>
  </r>
  <r>
    <s v="STU056"/>
    <x v="53"/>
    <x v="5"/>
    <n v="93"/>
    <n v="52"/>
    <n v="94"/>
    <n v="75"/>
    <n v="91"/>
    <n v="99"/>
    <n v="504"/>
    <n v="500"/>
    <n v="100.8"/>
    <x v="2"/>
  </r>
  <r>
    <s v="STU057"/>
    <x v="54"/>
    <x v="1"/>
    <n v="92"/>
    <n v="55"/>
    <n v="95"/>
    <n v="92"/>
    <n v="68"/>
    <n v="66"/>
    <n v="468"/>
    <n v="500"/>
    <n v="93.600000000000009"/>
    <x v="2"/>
  </r>
  <r>
    <s v="STU058"/>
    <x v="55"/>
    <x v="1"/>
    <n v="97"/>
    <n v="65"/>
    <n v="70"/>
    <n v="91"/>
    <n v="44"/>
    <n v="71"/>
    <n v="438"/>
    <n v="500"/>
    <n v="87.6"/>
    <x v="1"/>
  </r>
  <r>
    <s v="STU059"/>
    <x v="21"/>
    <x v="2"/>
    <n v="75"/>
    <n v="45"/>
    <n v="52"/>
    <n v="54"/>
    <n v="64"/>
    <n v="84"/>
    <n v="374"/>
    <n v="500"/>
    <n v="74.8"/>
    <x v="0"/>
  </r>
  <r>
    <s v="STU060"/>
    <x v="56"/>
    <x v="4"/>
    <n v="43"/>
    <n v="88"/>
    <n v="87"/>
    <n v="77"/>
    <n v="94"/>
    <n v="88"/>
    <n v="477"/>
    <n v="500"/>
    <n v="95.399999999999991"/>
    <x v="2"/>
  </r>
  <r>
    <s v="STU061"/>
    <x v="57"/>
    <x v="8"/>
    <n v="84"/>
    <n v="37"/>
    <n v="83"/>
    <n v="96"/>
    <n v="35"/>
    <n v="80"/>
    <n v="415"/>
    <n v="500"/>
    <n v="83"/>
    <x v="1"/>
  </r>
  <r>
    <s v="STU062"/>
    <x v="58"/>
    <x v="8"/>
    <n v="88"/>
    <n v="63"/>
    <n v="97"/>
    <n v="63"/>
    <n v="69"/>
    <n v="90"/>
    <n v="470"/>
    <n v="500"/>
    <n v="94"/>
    <x v="2"/>
  </r>
  <r>
    <s v="STU063"/>
    <x v="59"/>
    <x v="8"/>
    <n v="78"/>
    <n v="86"/>
    <n v="56"/>
    <n v="94"/>
    <n v="51"/>
    <n v="38"/>
    <n v="403"/>
    <n v="500"/>
    <n v="80.600000000000009"/>
    <x v="1"/>
  </r>
  <r>
    <s v="STU064"/>
    <x v="60"/>
    <x v="9"/>
    <n v="38"/>
    <n v="45"/>
    <n v="89"/>
    <n v="52"/>
    <n v="94"/>
    <n v="58"/>
    <n v="376"/>
    <n v="500"/>
    <n v="75.2"/>
    <x v="1"/>
  </r>
  <r>
    <s v="STU065"/>
    <x v="61"/>
    <x v="8"/>
    <n v="76"/>
    <n v="62"/>
    <n v="93"/>
    <n v="76"/>
    <n v="78"/>
    <n v="83"/>
    <n v="468"/>
    <n v="500"/>
    <n v="93.600000000000009"/>
    <x v="2"/>
  </r>
  <r>
    <s v="STU066"/>
    <x v="62"/>
    <x v="8"/>
    <n v="67"/>
    <n v="45"/>
    <n v="95"/>
    <n v="37"/>
    <n v="41"/>
    <n v="79"/>
    <n v="364"/>
    <n v="500"/>
    <n v="72.8"/>
    <x v="0"/>
  </r>
  <r>
    <s v="STU067"/>
    <x v="63"/>
    <x v="5"/>
    <n v="40"/>
    <n v="38"/>
    <n v="66"/>
    <n v="60"/>
    <n v="37"/>
    <n v="54"/>
    <n v="295"/>
    <n v="500"/>
    <n v="59"/>
    <x v="3"/>
  </r>
  <r>
    <s v="STU068"/>
    <x v="52"/>
    <x v="7"/>
    <n v="49"/>
    <n v="62"/>
    <n v="94"/>
    <n v="67"/>
    <n v="82"/>
    <n v="56"/>
    <n v="410"/>
    <n v="500"/>
    <n v="82"/>
    <x v="1"/>
  </r>
  <r>
    <s v="STU069"/>
    <x v="64"/>
    <x v="5"/>
    <n v="55"/>
    <n v="74"/>
    <n v="48"/>
    <n v="38"/>
    <n v="74"/>
    <n v="83"/>
    <n v="372"/>
    <n v="500"/>
    <n v="74.400000000000006"/>
    <x v="0"/>
  </r>
  <r>
    <s v="STU070"/>
    <x v="65"/>
    <x v="4"/>
    <n v="44"/>
    <n v="66"/>
    <n v="48"/>
    <n v="73"/>
    <n v="50"/>
    <n v="40"/>
    <n v="321"/>
    <n v="500"/>
    <n v="64.2"/>
    <x v="0"/>
  </r>
  <r>
    <s v="STU071"/>
    <x v="66"/>
    <x v="8"/>
    <n v="82"/>
    <n v="43"/>
    <n v="99"/>
    <n v="78"/>
    <n v="36"/>
    <n v="88"/>
    <n v="426"/>
    <n v="500"/>
    <n v="85.2"/>
    <x v="1"/>
  </r>
  <r>
    <s v="STU072"/>
    <x v="67"/>
    <x v="8"/>
    <n v="81"/>
    <n v="93"/>
    <n v="54"/>
    <n v="90"/>
    <n v="57"/>
    <n v="69"/>
    <n v="444"/>
    <n v="500"/>
    <n v="88.8"/>
    <x v="1"/>
  </r>
  <r>
    <s v="STU073"/>
    <x v="68"/>
    <x v="1"/>
    <n v="96"/>
    <n v="94"/>
    <n v="90"/>
    <n v="69"/>
    <n v="76"/>
    <n v="66"/>
    <n v="491"/>
    <n v="500"/>
    <n v="98.2"/>
    <x v="2"/>
  </r>
  <r>
    <s v="STU074"/>
    <x v="69"/>
    <x v="7"/>
    <n v="66"/>
    <n v="94"/>
    <n v="83"/>
    <n v="78"/>
    <n v="38"/>
    <n v="98"/>
    <n v="457"/>
    <n v="500"/>
    <n v="91.4"/>
    <x v="2"/>
  </r>
  <r>
    <s v="STU075"/>
    <x v="70"/>
    <x v="7"/>
    <n v="62"/>
    <n v="80"/>
    <n v="68"/>
    <n v="78"/>
    <n v="70"/>
    <n v="70"/>
    <n v="428"/>
    <n v="500"/>
    <n v="85.6"/>
    <x v="1"/>
  </r>
  <r>
    <s v="STU076"/>
    <x v="36"/>
    <x v="1"/>
    <n v="59"/>
    <n v="45"/>
    <n v="65"/>
    <n v="87"/>
    <n v="97"/>
    <n v="65"/>
    <n v="418"/>
    <n v="500"/>
    <n v="83.6"/>
    <x v="1"/>
  </r>
  <r>
    <s v="STU077"/>
    <x v="71"/>
    <x v="7"/>
    <n v="92"/>
    <n v="37"/>
    <n v="46"/>
    <n v="72"/>
    <n v="63"/>
    <n v="86"/>
    <n v="396"/>
    <n v="500"/>
    <n v="79.2"/>
    <x v="1"/>
  </r>
  <r>
    <s v="STU078"/>
    <x v="72"/>
    <x v="3"/>
    <n v="82"/>
    <n v="95"/>
    <n v="79"/>
    <n v="89"/>
    <n v="77"/>
    <n v="80"/>
    <n v="502"/>
    <n v="500"/>
    <n v="100.4"/>
    <x v="2"/>
  </r>
  <r>
    <s v="STU079"/>
    <x v="73"/>
    <x v="3"/>
    <n v="74"/>
    <n v="67"/>
    <n v="64"/>
    <n v="50"/>
    <n v="59"/>
    <n v="75"/>
    <n v="389"/>
    <n v="500"/>
    <n v="77.8"/>
    <x v="1"/>
  </r>
  <r>
    <s v="STU080"/>
    <x v="74"/>
    <x v="1"/>
    <n v="58"/>
    <n v="59"/>
    <n v="62"/>
    <n v="96"/>
    <n v="70"/>
    <n v="71"/>
    <n v="416"/>
    <n v="500"/>
    <n v="83.2"/>
    <x v="1"/>
  </r>
  <r>
    <s v="STU081"/>
    <x v="75"/>
    <x v="4"/>
    <n v="72"/>
    <n v="64"/>
    <n v="81"/>
    <n v="57"/>
    <n v="73"/>
    <n v="36"/>
    <n v="383"/>
    <n v="500"/>
    <n v="76.599999999999994"/>
    <x v="1"/>
  </r>
  <r>
    <s v="STU082"/>
    <x v="76"/>
    <x v="6"/>
    <n v="70"/>
    <n v="40"/>
    <n v="41"/>
    <n v="72"/>
    <n v="51"/>
    <n v="97"/>
    <n v="371"/>
    <n v="500"/>
    <n v="74.2"/>
    <x v="0"/>
  </r>
  <r>
    <s v="STU083"/>
    <x v="77"/>
    <x v="0"/>
    <n v="71"/>
    <n v="95"/>
    <n v="96"/>
    <n v="91"/>
    <n v="78"/>
    <n v="58"/>
    <n v="489"/>
    <n v="500"/>
    <n v="97.8"/>
    <x v="2"/>
  </r>
  <r>
    <s v="STU084"/>
    <x v="61"/>
    <x v="7"/>
    <n v="49"/>
    <n v="43"/>
    <n v="86"/>
    <n v="97"/>
    <n v="44"/>
    <n v="41"/>
    <n v="360"/>
    <n v="500"/>
    <n v="72"/>
    <x v="0"/>
  </r>
  <r>
    <s v="STU085"/>
    <x v="78"/>
    <x v="9"/>
    <n v="73"/>
    <n v="45"/>
    <n v="66"/>
    <n v="50"/>
    <n v="88"/>
    <n v="63"/>
    <n v="385"/>
    <n v="500"/>
    <n v="77"/>
    <x v="1"/>
  </r>
  <r>
    <s v="STU086"/>
    <x v="79"/>
    <x v="8"/>
    <n v="92"/>
    <n v="91"/>
    <n v="73"/>
    <n v="89"/>
    <n v="74"/>
    <n v="42"/>
    <n v="461"/>
    <n v="500"/>
    <n v="92.2"/>
    <x v="2"/>
  </r>
  <r>
    <s v="STU087"/>
    <x v="80"/>
    <x v="5"/>
    <n v="61"/>
    <n v="62"/>
    <n v="68"/>
    <n v="45"/>
    <n v="55"/>
    <n v="65"/>
    <n v="356"/>
    <n v="500"/>
    <n v="71.2"/>
    <x v="0"/>
  </r>
  <r>
    <s v="STU088"/>
    <x v="81"/>
    <x v="5"/>
    <n v="55"/>
    <n v="35"/>
    <n v="87"/>
    <n v="92"/>
    <n v="95"/>
    <n v="72"/>
    <n v="436"/>
    <n v="500"/>
    <n v="87.2"/>
    <x v="1"/>
  </r>
  <r>
    <s v="STU089"/>
    <x v="82"/>
    <x v="3"/>
    <n v="71"/>
    <n v="93"/>
    <n v="44"/>
    <n v="64"/>
    <n v="68"/>
    <n v="60"/>
    <n v="400"/>
    <n v="500"/>
    <n v="80"/>
    <x v="1"/>
  </r>
  <r>
    <s v="STU090"/>
    <x v="83"/>
    <x v="1"/>
    <n v="63"/>
    <n v="54"/>
    <n v="69"/>
    <n v="53"/>
    <n v="44"/>
    <n v="42"/>
    <n v="325"/>
    <n v="500"/>
    <n v="65"/>
    <x v="0"/>
  </r>
  <r>
    <s v="STU091"/>
    <x v="84"/>
    <x v="3"/>
    <n v="71"/>
    <n v="91"/>
    <n v="50"/>
    <n v="94"/>
    <n v="73"/>
    <n v="86"/>
    <n v="465"/>
    <n v="500"/>
    <n v="93"/>
    <x v="2"/>
  </r>
  <r>
    <s v="STU092"/>
    <x v="85"/>
    <x v="1"/>
    <n v="98"/>
    <n v="91"/>
    <n v="45"/>
    <n v="40"/>
    <n v="90"/>
    <n v="76"/>
    <n v="440"/>
    <n v="500"/>
    <n v="88"/>
    <x v="1"/>
  </r>
  <r>
    <s v="STU093"/>
    <x v="86"/>
    <x v="0"/>
    <n v="46"/>
    <n v="64"/>
    <n v="37"/>
    <n v="69"/>
    <n v="40"/>
    <n v="57"/>
    <n v="313"/>
    <n v="500"/>
    <n v="62.6"/>
    <x v="0"/>
  </r>
  <r>
    <s v="STU094"/>
    <x v="87"/>
    <x v="7"/>
    <n v="70"/>
    <n v="58"/>
    <n v="90"/>
    <n v="97"/>
    <n v="46"/>
    <n v="95"/>
    <n v="456"/>
    <n v="500"/>
    <n v="91.2"/>
    <x v="2"/>
  </r>
  <r>
    <s v="STU095"/>
    <x v="88"/>
    <x v="2"/>
    <n v="76"/>
    <n v="48"/>
    <n v="55"/>
    <n v="77"/>
    <n v="87"/>
    <n v="98"/>
    <n v="441"/>
    <n v="500"/>
    <n v="88.2"/>
    <x v="1"/>
  </r>
  <r>
    <s v="STU096"/>
    <x v="89"/>
    <x v="8"/>
    <n v="39"/>
    <n v="93"/>
    <n v="46"/>
    <n v="75"/>
    <n v="67"/>
    <n v="76"/>
    <n v="396"/>
    <n v="500"/>
    <n v="79.2"/>
    <x v="1"/>
  </r>
  <r>
    <s v="STU097"/>
    <x v="90"/>
    <x v="8"/>
    <n v="100"/>
    <n v="35"/>
    <n v="94"/>
    <n v="87"/>
    <n v="41"/>
    <n v="59"/>
    <n v="416"/>
    <n v="500"/>
    <n v="83.2"/>
    <x v="1"/>
  </r>
  <r>
    <s v="STU098"/>
    <x v="91"/>
    <x v="9"/>
    <n v="98"/>
    <n v="91"/>
    <n v="41"/>
    <n v="61"/>
    <n v="69"/>
    <n v="51"/>
    <n v="411"/>
    <n v="500"/>
    <n v="82.199999999999989"/>
    <x v="1"/>
  </r>
  <r>
    <s v="STU099"/>
    <x v="92"/>
    <x v="7"/>
    <n v="50"/>
    <n v="38"/>
    <n v="65"/>
    <n v="55"/>
    <n v="74"/>
    <n v="36"/>
    <n v="318"/>
    <n v="500"/>
    <n v="63.6"/>
    <x v="0"/>
  </r>
  <r>
    <s v="STU100"/>
    <x v="93"/>
    <x v="5"/>
    <n v="63"/>
    <n v="49"/>
    <n v="94"/>
    <n v="50"/>
    <n v="54"/>
    <n v="98"/>
    <n v="408"/>
    <n v="500"/>
    <n v="81.599999999999994"/>
    <x v="1"/>
  </r>
  <r>
    <s v="STU101"/>
    <x v="94"/>
    <x v="1"/>
    <n v="69"/>
    <n v="88"/>
    <n v="96"/>
    <n v="95"/>
    <n v="66"/>
    <n v="93"/>
    <n v="507"/>
    <n v="500"/>
    <n v="101.4"/>
    <x v="2"/>
  </r>
  <r>
    <s v="STU102"/>
    <x v="95"/>
    <x v="8"/>
    <n v="59"/>
    <n v="100"/>
    <n v="52"/>
    <n v="43"/>
    <n v="70"/>
    <n v="88"/>
    <n v="412"/>
    <n v="500"/>
    <n v="82.399999999999991"/>
    <x v="1"/>
  </r>
  <r>
    <s v="STU103"/>
    <x v="96"/>
    <x v="1"/>
    <n v="69"/>
    <n v="35"/>
    <n v="71"/>
    <n v="73"/>
    <n v="97"/>
    <n v="54"/>
    <n v="399"/>
    <n v="500"/>
    <n v="79.800000000000011"/>
    <x v="1"/>
  </r>
  <r>
    <s v="STU104"/>
    <x v="97"/>
    <x v="7"/>
    <n v="79"/>
    <n v="77"/>
    <n v="83"/>
    <n v="93"/>
    <n v="76"/>
    <n v="59"/>
    <n v="467"/>
    <n v="500"/>
    <n v="93.4"/>
    <x v="2"/>
  </r>
  <r>
    <s v="STU105"/>
    <x v="72"/>
    <x v="9"/>
    <n v="84"/>
    <n v="64"/>
    <n v="87"/>
    <n v="40"/>
    <n v="75"/>
    <n v="95"/>
    <n v="445"/>
    <n v="500"/>
    <n v="89"/>
    <x v="1"/>
  </r>
  <r>
    <s v="STU106"/>
    <x v="98"/>
    <x v="8"/>
    <n v="84"/>
    <n v="54"/>
    <n v="98"/>
    <n v="39"/>
    <n v="51"/>
    <n v="99"/>
    <n v="425"/>
    <n v="500"/>
    <n v="85"/>
    <x v="1"/>
  </r>
  <r>
    <s v="STU107"/>
    <x v="99"/>
    <x v="5"/>
    <n v="91"/>
    <n v="47"/>
    <n v="93"/>
    <n v="36"/>
    <n v="53"/>
    <n v="87"/>
    <n v="407"/>
    <n v="500"/>
    <n v="81.399999999999991"/>
    <x v="1"/>
  </r>
  <r>
    <s v="STU108"/>
    <x v="100"/>
    <x v="5"/>
    <n v="95"/>
    <n v="68"/>
    <n v="78"/>
    <n v="85"/>
    <n v="45"/>
    <n v="77"/>
    <n v="448"/>
    <n v="500"/>
    <n v="89.600000000000009"/>
    <x v="1"/>
  </r>
  <r>
    <s v="STU109"/>
    <x v="101"/>
    <x v="1"/>
    <n v="83"/>
    <n v="75"/>
    <n v="97"/>
    <n v="39"/>
    <n v="43"/>
    <n v="65"/>
    <n v="402"/>
    <n v="500"/>
    <n v="80.400000000000006"/>
    <x v="1"/>
  </r>
  <r>
    <s v="STU110"/>
    <x v="102"/>
    <x v="3"/>
    <n v="64"/>
    <n v="46"/>
    <n v="90"/>
    <n v="47"/>
    <n v="47"/>
    <n v="91"/>
    <n v="385"/>
    <n v="500"/>
    <n v="77"/>
    <x v="1"/>
  </r>
  <r>
    <s v="STU111"/>
    <x v="103"/>
    <x v="3"/>
    <n v="38"/>
    <n v="40"/>
    <n v="76"/>
    <n v="42"/>
    <n v="72"/>
    <n v="80"/>
    <n v="348"/>
    <n v="500"/>
    <n v="69.599999999999994"/>
    <x v="0"/>
  </r>
  <r>
    <s v="STU112"/>
    <x v="45"/>
    <x v="6"/>
    <n v="66"/>
    <n v="87"/>
    <n v="58"/>
    <n v="56"/>
    <n v="57"/>
    <n v="45"/>
    <n v="369"/>
    <n v="500"/>
    <n v="73.8"/>
    <x v="0"/>
  </r>
  <r>
    <s v="STU113"/>
    <x v="51"/>
    <x v="8"/>
    <n v="65"/>
    <n v="98"/>
    <n v="53"/>
    <n v="64"/>
    <n v="94"/>
    <n v="67"/>
    <n v="441"/>
    <n v="500"/>
    <n v="88.2"/>
    <x v="1"/>
  </r>
  <r>
    <s v="STU114"/>
    <x v="104"/>
    <x v="0"/>
    <n v="94"/>
    <n v="71"/>
    <n v="55"/>
    <n v="44"/>
    <n v="91"/>
    <n v="79"/>
    <n v="434"/>
    <n v="500"/>
    <n v="86.8"/>
    <x v="1"/>
  </r>
  <r>
    <s v="STU115"/>
    <x v="105"/>
    <x v="8"/>
    <n v="67"/>
    <n v="93"/>
    <n v="73"/>
    <n v="60"/>
    <n v="84"/>
    <n v="96"/>
    <n v="473"/>
    <n v="500"/>
    <n v="94.6"/>
    <x v="2"/>
  </r>
  <r>
    <s v="STU116"/>
    <x v="106"/>
    <x v="8"/>
    <n v="80"/>
    <n v="72"/>
    <n v="72"/>
    <n v="37"/>
    <n v="85"/>
    <n v="70"/>
    <n v="416"/>
    <n v="500"/>
    <n v="83.2"/>
    <x v="1"/>
  </r>
  <r>
    <s v="STU117"/>
    <x v="107"/>
    <x v="0"/>
    <n v="98"/>
    <n v="71"/>
    <n v="64"/>
    <n v="80"/>
    <n v="63"/>
    <n v="59"/>
    <n v="435"/>
    <n v="500"/>
    <n v="87"/>
    <x v="1"/>
  </r>
  <r>
    <s v="STU118"/>
    <x v="108"/>
    <x v="6"/>
    <n v="47"/>
    <n v="40"/>
    <n v="74"/>
    <n v="91"/>
    <n v="39"/>
    <n v="81"/>
    <n v="372"/>
    <n v="500"/>
    <n v="74.400000000000006"/>
    <x v="0"/>
  </r>
  <r>
    <s v="STU119"/>
    <x v="109"/>
    <x v="5"/>
    <n v="72"/>
    <n v="76"/>
    <n v="88"/>
    <n v="57"/>
    <n v="60"/>
    <n v="51"/>
    <n v="404"/>
    <n v="500"/>
    <n v="80.800000000000011"/>
    <x v="1"/>
  </r>
  <r>
    <s v="STU120"/>
    <x v="110"/>
    <x v="2"/>
    <n v="99"/>
    <n v="69"/>
    <n v="56"/>
    <n v="67"/>
    <n v="96"/>
    <n v="72"/>
    <n v="459"/>
    <n v="500"/>
    <n v="91.8"/>
    <x v="2"/>
  </r>
  <r>
    <s v="STU121"/>
    <x v="111"/>
    <x v="2"/>
    <n v="49"/>
    <n v="94"/>
    <n v="44"/>
    <n v="53"/>
    <n v="63"/>
    <n v="85"/>
    <n v="388"/>
    <n v="500"/>
    <n v="77.600000000000009"/>
    <x v="1"/>
  </r>
  <r>
    <s v="STU122"/>
    <x v="112"/>
    <x v="5"/>
    <n v="85"/>
    <n v="36"/>
    <n v="68"/>
    <n v="50"/>
    <n v="93"/>
    <n v="82"/>
    <n v="414"/>
    <n v="500"/>
    <n v="82.8"/>
    <x v="1"/>
  </r>
  <r>
    <s v="STU123"/>
    <x v="47"/>
    <x v="3"/>
    <n v="83"/>
    <n v="82"/>
    <n v="48"/>
    <n v="64"/>
    <n v="95"/>
    <n v="38"/>
    <n v="410"/>
    <n v="500"/>
    <n v="82"/>
    <x v="1"/>
  </r>
  <r>
    <s v="STU124"/>
    <x v="113"/>
    <x v="1"/>
    <n v="76"/>
    <n v="63"/>
    <n v="43"/>
    <n v="94"/>
    <n v="73"/>
    <n v="87"/>
    <n v="436"/>
    <n v="500"/>
    <n v="87.2"/>
    <x v="1"/>
  </r>
  <r>
    <s v="STU125"/>
    <x v="114"/>
    <x v="0"/>
    <n v="39"/>
    <n v="73"/>
    <n v="98"/>
    <n v="49"/>
    <n v="47"/>
    <n v="65"/>
    <n v="371"/>
    <n v="500"/>
    <n v="74.2"/>
    <x v="0"/>
  </r>
  <r>
    <s v="STU126"/>
    <x v="115"/>
    <x v="8"/>
    <n v="93"/>
    <n v="82"/>
    <n v="88"/>
    <n v="54"/>
    <n v="88"/>
    <n v="47"/>
    <n v="452"/>
    <n v="500"/>
    <n v="90.4"/>
    <x v="2"/>
  </r>
  <r>
    <s v="STU127"/>
    <x v="116"/>
    <x v="8"/>
    <n v="70"/>
    <n v="39"/>
    <n v="82"/>
    <n v="62"/>
    <n v="91"/>
    <n v="91"/>
    <n v="435"/>
    <n v="500"/>
    <n v="87"/>
    <x v="1"/>
  </r>
  <r>
    <s v="STU128"/>
    <x v="117"/>
    <x v="2"/>
    <n v="47"/>
    <n v="82"/>
    <n v="80"/>
    <n v="42"/>
    <n v="85"/>
    <n v="70"/>
    <n v="406"/>
    <n v="500"/>
    <n v="81.2"/>
    <x v="1"/>
  </r>
  <r>
    <s v="STU129"/>
    <x v="22"/>
    <x v="7"/>
    <n v="46"/>
    <n v="62"/>
    <n v="37"/>
    <n v="41"/>
    <n v="77"/>
    <n v="66"/>
    <n v="329"/>
    <n v="500"/>
    <n v="65.8"/>
    <x v="0"/>
  </r>
  <r>
    <s v="STU130"/>
    <x v="118"/>
    <x v="9"/>
    <n v="61"/>
    <n v="43"/>
    <n v="61"/>
    <n v="62"/>
    <n v="64"/>
    <n v="77"/>
    <n v="368"/>
    <n v="500"/>
    <n v="73.599999999999994"/>
    <x v="0"/>
  </r>
  <r>
    <s v="STU131"/>
    <x v="119"/>
    <x v="9"/>
    <n v="35"/>
    <n v="70"/>
    <n v="53"/>
    <n v="51"/>
    <n v="67"/>
    <n v="57"/>
    <n v="333"/>
    <n v="500"/>
    <n v="66.600000000000009"/>
    <x v="0"/>
  </r>
  <r>
    <s v="STU132"/>
    <x v="120"/>
    <x v="0"/>
    <n v="51"/>
    <n v="36"/>
    <n v="80"/>
    <n v="65"/>
    <n v="76"/>
    <n v="37"/>
    <n v="345"/>
    <n v="500"/>
    <n v="69"/>
    <x v="0"/>
  </r>
  <r>
    <s v="STU133"/>
    <x v="121"/>
    <x v="0"/>
    <n v="51"/>
    <n v="88"/>
    <n v="49"/>
    <n v="43"/>
    <n v="95"/>
    <n v="92"/>
    <n v="418"/>
    <n v="500"/>
    <n v="83.6"/>
    <x v="1"/>
  </r>
  <r>
    <s v="STU134"/>
    <x v="122"/>
    <x v="1"/>
    <n v="48"/>
    <n v="92"/>
    <n v="99"/>
    <n v="63"/>
    <n v="40"/>
    <n v="73"/>
    <n v="415"/>
    <n v="500"/>
    <n v="83"/>
    <x v="1"/>
  </r>
  <r>
    <s v="STU135"/>
    <x v="123"/>
    <x v="0"/>
    <n v="42"/>
    <n v="96"/>
    <n v="86"/>
    <n v="89"/>
    <n v="48"/>
    <n v="97"/>
    <n v="458"/>
    <n v="500"/>
    <n v="91.600000000000009"/>
    <x v="2"/>
  </r>
  <r>
    <s v="STU136"/>
    <x v="98"/>
    <x v="7"/>
    <n v="44"/>
    <n v="45"/>
    <n v="76"/>
    <n v="53"/>
    <n v="43"/>
    <n v="51"/>
    <n v="312"/>
    <n v="500"/>
    <n v="62.4"/>
    <x v="0"/>
  </r>
  <r>
    <s v="STU137"/>
    <x v="124"/>
    <x v="9"/>
    <n v="76"/>
    <n v="83"/>
    <n v="72"/>
    <n v="93"/>
    <n v="99"/>
    <n v="90"/>
    <n v="513"/>
    <n v="500"/>
    <n v="102.60000000000001"/>
    <x v="2"/>
  </r>
  <r>
    <s v="STU138"/>
    <x v="125"/>
    <x v="5"/>
    <n v="62"/>
    <n v="90"/>
    <n v="92"/>
    <n v="64"/>
    <n v="87"/>
    <n v="78"/>
    <n v="473"/>
    <n v="500"/>
    <n v="94.6"/>
    <x v="2"/>
  </r>
  <r>
    <s v="STU139"/>
    <x v="126"/>
    <x v="8"/>
    <n v="47"/>
    <n v="75"/>
    <n v="89"/>
    <n v="75"/>
    <n v="67"/>
    <n v="82"/>
    <n v="435"/>
    <n v="500"/>
    <n v="87"/>
    <x v="1"/>
  </r>
  <r>
    <s v="STU140"/>
    <x v="127"/>
    <x v="7"/>
    <n v="43"/>
    <n v="46"/>
    <n v="45"/>
    <n v="46"/>
    <n v="90"/>
    <n v="47"/>
    <n v="317"/>
    <n v="500"/>
    <n v="63.4"/>
    <x v="0"/>
  </r>
  <r>
    <s v="STU141"/>
    <x v="128"/>
    <x v="2"/>
    <n v="51"/>
    <n v="42"/>
    <n v="77"/>
    <n v="50"/>
    <n v="87"/>
    <n v="80"/>
    <n v="387"/>
    <n v="500"/>
    <n v="77.400000000000006"/>
    <x v="1"/>
  </r>
  <r>
    <s v="STU142"/>
    <x v="129"/>
    <x v="8"/>
    <n v="41"/>
    <n v="71"/>
    <n v="74"/>
    <n v="80"/>
    <n v="48"/>
    <n v="99"/>
    <n v="413"/>
    <n v="500"/>
    <n v="82.6"/>
    <x v="1"/>
  </r>
  <r>
    <s v="STU143"/>
    <x v="130"/>
    <x v="7"/>
    <n v="63"/>
    <n v="48"/>
    <n v="79"/>
    <n v="82"/>
    <n v="49"/>
    <n v="70"/>
    <n v="391"/>
    <n v="500"/>
    <n v="78.2"/>
    <x v="1"/>
  </r>
  <r>
    <s v="STU144"/>
    <x v="131"/>
    <x v="8"/>
    <n v="38"/>
    <n v="69"/>
    <n v="38"/>
    <n v="58"/>
    <n v="69"/>
    <n v="74"/>
    <n v="346"/>
    <n v="500"/>
    <n v="69.199999999999989"/>
    <x v="0"/>
  </r>
  <r>
    <s v="STU145"/>
    <x v="132"/>
    <x v="0"/>
    <n v="58"/>
    <n v="53"/>
    <n v="86"/>
    <n v="43"/>
    <n v="53"/>
    <n v="38"/>
    <n v="331"/>
    <n v="500"/>
    <n v="66.2"/>
    <x v="0"/>
  </r>
  <r>
    <s v="STU146"/>
    <x v="133"/>
    <x v="1"/>
    <n v="62"/>
    <n v="83"/>
    <n v="88"/>
    <n v="93"/>
    <n v="78"/>
    <n v="55"/>
    <n v="459"/>
    <n v="500"/>
    <n v="91.8"/>
    <x v="2"/>
  </r>
  <r>
    <s v="STU147"/>
    <x v="134"/>
    <x v="2"/>
    <n v="45"/>
    <n v="41"/>
    <n v="54"/>
    <n v="55"/>
    <n v="41"/>
    <n v="45"/>
    <n v="281"/>
    <n v="500"/>
    <n v="56.2"/>
    <x v="3"/>
  </r>
  <r>
    <s v="STU148"/>
    <x v="135"/>
    <x v="8"/>
    <n v="97"/>
    <n v="91"/>
    <n v="88"/>
    <n v="69"/>
    <n v="62"/>
    <n v="100"/>
    <n v="507"/>
    <n v="500"/>
    <n v="101.4"/>
    <x v="2"/>
  </r>
  <r>
    <s v="STU149"/>
    <x v="136"/>
    <x v="8"/>
    <n v="49"/>
    <n v="71"/>
    <n v="97"/>
    <n v="74"/>
    <n v="40"/>
    <n v="63"/>
    <n v="394"/>
    <n v="500"/>
    <n v="78.8"/>
    <x v="1"/>
  </r>
  <r>
    <s v="STU150"/>
    <x v="137"/>
    <x v="0"/>
    <n v="35"/>
    <n v="61"/>
    <n v="73"/>
    <n v="62"/>
    <n v="52"/>
    <n v="67"/>
    <n v="350"/>
    <n v="500"/>
    <n v="7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x v="0"/>
    <x v="0"/>
  </r>
  <r>
    <x v="1"/>
    <x v="1"/>
    <x v="1"/>
    <x v="1"/>
    <x v="1"/>
  </r>
  <r>
    <x v="2"/>
    <x v="2"/>
    <x v="2"/>
    <x v="2"/>
    <x v="2"/>
  </r>
  <r>
    <x v="3"/>
    <x v="3"/>
    <x v="3"/>
    <x v="3"/>
    <x v="3"/>
  </r>
  <r>
    <x v="4"/>
    <x v="4"/>
    <x v="4"/>
    <x v="4"/>
    <x v="4"/>
  </r>
  <r>
    <x v="5"/>
    <x v="5"/>
    <x v="5"/>
    <x v="5"/>
    <x v="5"/>
  </r>
  <r>
    <x v="6"/>
    <x v="6"/>
    <x v="6"/>
    <x v="6"/>
    <x v="6"/>
  </r>
  <r>
    <x v="7"/>
    <x v="7"/>
    <x v="7"/>
    <x v="7"/>
    <x v="7"/>
  </r>
  <r>
    <x v="8"/>
    <x v="8"/>
    <x v="8"/>
    <x v="8"/>
    <x v="8"/>
  </r>
  <r>
    <x v="9"/>
    <x v="9"/>
    <x v="9"/>
    <x v="9"/>
    <x v="9"/>
  </r>
  <r>
    <x v="10"/>
    <x v="10"/>
    <x v="10"/>
    <x v="10"/>
    <x v="10"/>
  </r>
  <r>
    <x v="11"/>
    <x v="11"/>
    <x v="11"/>
    <x v="11"/>
    <x v="11"/>
  </r>
  <r>
    <x v="12"/>
    <x v="12"/>
    <x v="12"/>
    <x v="12"/>
    <x v="12"/>
  </r>
  <r>
    <x v="13"/>
    <x v="13"/>
    <x v="13"/>
    <x v="13"/>
    <x v="13"/>
  </r>
  <r>
    <x v="14"/>
    <x v="14"/>
    <x v="14"/>
    <x v="14"/>
    <x v="14"/>
  </r>
  <r>
    <x v="15"/>
    <x v="15"/>
    <x v="15"/>
    <x v="15"/>
    <x v="15"/>
  </r>
  <r>
    <x v="16"/>
    <x v="16"/>
    <x v="16"/>
    <x v="16"/>
    <x v="16"/>
  </r>
  <r>
    <x v="17"/>
    <x v="17"/>
    <x v="17"/>
    <x v="17"/>
    <x v="17"/>
  </r>
  <r>
    <x v="18"/>
    <x v="18"/>
    <x v="18"/>
    <x v="18"/>
    <x v="18"/>
  </r>
  <r>
    <x v="19"/>
    <x v="19"/>
    <x v="19"/>
    <x v="19"/>
    <x v="19"/>
  </r>
  <r>
    <x v="20"/>
    <x v="20"/>
    <x v="20"/>
    <x v="20"/>
    <x v="20"/>
  </r>
  <r>
    <x v="21"/>
    <x v="21"/>
    <x v="21"/>
    <x v="21"/>
    <x v="21"/>
  </r>
  <r>
    <x v="22"/>
    <x v="22"/>
    <x v="22"/>
    <x v="22"/>
    <x v="22"/>
  </r>
  <r>
    <x v="23"/>
    <x v="23"/>
    <x v="23"/>
    <x v="23"/>
    <x v="23"/>
  </r>
  <r>
    <x v="24"/>
    <x v="24"/>
    <x v="24"/>
    <x v="24"/>
    <x v="24"/>
  </r>
  <r>
    <x v="25"/>
    <x v="25"/>
    <x v="25"/>
    <x v="25"/>
    <x v="25"/>
  </r>
  <r>
    <x v="26"/>
    <x v="26"/>
    <x v="26"/>
    <x v="26"/>
    <x v="26"/>
  </r>
  <r>
    <x v="27"/>
    <x v="27"/>
    <x v="27"/>
    <x v="27"/>
    <x v="27"/>
  </r>
  <r>
    <x v="28"/>
    <x v="28"/>
    <x v="28"/>
    <x v="28"/>
    <x v="28"/>
  </r>
  <r>
    <x v="29"/>
    <x v="29"/>
    <x v="29"/>
    <x v="29"/>
    <x v="29"/>
  </r>
  <r>
    <x v="30"/>
    <x v="30"/>
    <x v="30"/>
    <x v="30"/>
    <x v="30"/>
  </r>
  <r>
    <x v="31"/>
    <x v="31"/>
    <x v="31"/>
    <x v="31"/>
    <x v="31"/>
  </r>
  <r>
    <x v="32"/>
    <x v="32"/>
    <x v="32"/>
    <x v="32"/>
    <x v="32"/>
  </r>
  <r>
    <x v="33"/>
    <x v="33"/>
    <x v="33"/>
    <x v="33"/>
    <x v="33"/>
  </r>
  <r>
    <x v="34"/>
    <x v="34"/>
    <x v="34"/>
    <x v="34"/>
    <x v="34"/>
  </r>
  <r>
    <x v="35"/>
    <x v="35"/>
    <x v="35"/>
    <x v="35"/>
    <x v="35"/>
  </r>
  <r>
    <x v="36"/>
    <x v="36"/>
    <x v="36"/>
    <x v="36"/>
    <x v="3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n v="0.71392659627953747"/>
    <n v="0.88185353563016922"/>
    <n v="0.77767612076852699"/>
    <n v="0.80020215633423186"/>
    <n v="0.36540803897685747"/>
  </r>
  <r>
    <n v="1.3264498468075423"/>
    <n v="1.6759123000188128"/>
    <n v="1.4547060385231085"/>
    <n v="1.3025333937840504"/>
    <n v="0.2231237817954442"/>
  </r>
  <r>
    <n v="0.91599088730715206"/>
    <n v="0.90513212193064452"/>
    <n v="0.91228670534617118"/>
    <n v="0.49940197662463015"/>
    <n v="0.24771573604060915"/>
  </r>
  <r>
    <n v="1.186625838991556"/>
    <n v="0.87936916980508506"/>
    <n v="1.0835794161566163"/>
    <n v="0.45803365322824674"/>
    <n v="0.25523602202539525"/>
  </r>
  <r>
    <n v="0.5525479094392608"/>
    <n v="0.471706144263701"/>
    <n v="0.52535724008532458"/>
    <n v="0.13147413635474986"/>
    <n v="7.4594178841828701E-2"/>
  </r>
  <r>
    <n v="1.6624027345781893"/>
    <n v="2.9531739362921092"/>
    <n v="2.1915869118605"/>
    <n v="2.3785050080080321"/>
    <n v="0.75340622783200017"/>
  </r>
  <r>
    <n v="0.92061506341698773"/>
    <n v="0.8217108827262769"/>
    <n v="0.88448510847088657"/>
    <n v="0.4773743775272683"/>
    <n v="0.31615243692922917"/>
  </r>
  <r>
    <n v="2.6344967219436946"/>
    <n v="2.7173363019937251"/>
    <n v="2.6612244897959183"/>
    <n v="3.0012535948676353"/>
    <n v="2.0042757883484765"/>
  </r>
  <r>
    <n v="0.31448189108443841"/>
    <n v="0.64435468359299863"/>
    <n v="0.43084438714930284"/>
    <n v="0.44303797468354433"/>
    <n v="5.4749520941691755E-2"/>
  </r>
  <r>
    <n v="0.4785140005544774"/>
    <n v="0.73835850309496387"/>
    <n v="0.57824935136992994"/>
    <n v="0.77930925048424693"/>
    <n v="0.47586438070795617"/>
  </r>
  <r>
    <n v="0.56343940201159171"/>
    <n v="1.182650749753325"/>
    <n v="0.79095583617154919"/>
    <n v="0.9860499875446318"/>
    <n v="9.9648607541826195E-2"/>
  </r>
  <r>
    <n v="0.92147545328176672"/>
    <n v="1.1350377424766829"/>
    <n v="1.0016492816610667"/>
    <n v="0.52313854342642185"/>
    <n v="0.41652325646546551"/>
  </r>
  <r>
    <n v="0.56531851787275933"/>
    <n v="0.71107992560333999"/>
    <n v="0.61835412333508033"/>
    <n v="0.49433269220632786"/>
    <n v="0.22962982930231618"/>
  </r>
  <r>
    <n v="0.70486447762016535"/>
    <n v="0.87112612850430282"/>
    <n v="0.76637041200411882"/>
    <n v="0.70241263470180193"/>
    <n v="0.32038006457504725"/>
  </r>
  <r>
    <n v="1.3830432373858197"/>
    <n v="1.3980675545966663"/>
    <n v="1.3882120544898131"/>
    <n v="1.0475093229845678"/>
    <n v="0.45659392789373815"/>
  </r>
  <r>
    <n v="0.97359781437529269"/>
    <n v="0.90215674904542442"/>
    <n v="0.94994924803571723"/>
    <n v="0.30725220621139321"/>
    <n v="0.1693715475193856"/>
  </r>
  <r>
    <n v="0.95289361950370599"/>
    <n v="1.216971327220701"/>
    <n v="1.0475094230482163"/>
    <n v="0.81599097910585383"/>
    <n v="0.35648985178602438"/>
  </r>
  <r>
    <n v="2.0878959898940832"/>
    <n v="2.8494725483151946"/>
    <n v="2.3740976944443459"/>
    <n v="2.8466807020845342"/>
    <n v="1.6152950273950644"/>
  </r>
  <r>
    <n v="1.5928837401737692"/>
    <n v="1.7501988862370723"/>
    <n v="1.6467065868263475"/>
    <n v="2.4505183788878417"/>
    <n v="1.0430839002267573"/>
  </r>
  <r>
    <n v="0.84392062505783905"/>
    <n v="1.0650099425191466"/>
    <n v="0.92323106371268449"/>
    <n v="0.38562503038750956"/>
    <n v="0.25621690414852732"/>
  </r>
  <r>
    <n v="1.7263372975779914"/>
    <n v="1.6303568057390976"/>
    <n v="1.6908249985458521"/>
    <n v="1.2993615997795451"/>
    <n v="0.41882050826964246"/>
  </r>
  <r>
    <n v="0.9376626328729265"/>
    <n v="0.60036124520321654"/>
    <n v="0.83055223865364392"/>
    <n v="0.48246078535201986"/>
    <n v="0.12107870115575124"/>
  </r>
  <r>
    <n v="0.57445078237197422"/>
    <n v="0.47309080235509438"/>
    <n v="0.54321729889055448"/>
    <n v="0.25594970812752582"/>
    <n v="0.10121110234329433"/>
  </r>
  <r>
    <n v="1.5085452636490901"/>
    <n v="2.2134946430721079"/>
    <n v="1.73863502416408"/>
    <n v="2.2840914607505218"/>
    <n v="1.1075559931085406"/>
  </r>
  <r>
    <n v="0.6955231369534699"/>
    <n v="1.0168306447585276"/>
    <n v="0.80742791940331737"/>
    <n v="0.8686948128552533"/>
    <n v="0.3100398188394784"/>
  </r>
  <r>
    <n v="1.5594339708986646"/>
    <n v="1.9103045871663151"/>
    <n v="1.6896225819360282"/>
    <n v="1.2438447742355609"/>
    <n v="2.4146917274518874E-3"/>
  </r>
  <r>
    <n v="0.82090358310666844"/>
    <n v="0.98178088213744941"/>
    <n v="0.88142694385573761"/>
    <n v="1.2526748575412952"/>
    <n v="0.938788640949902"/>
  </r>
  <r>
    <n v="1.549922887467718"/>
    <n v="1.6243729670701867"/>
    <n v="1.577661123503588"/>
    <n v="1.1934147235583599"/>
    <n v="0.79602872859391038"/>
  </r>
  <r>
    <n v="0.46480165394767181"/>
    <n v="0.51034132252406361"/>
    <n v="0.47996112576496719"/>
    <n v="0.35775297785031202"/>
    <n v="0.22668740085907282"/>
  </r>
  <r>
    <n v="0.96785901520345197"/>
    <n v="0.83237657864523529"/>
    <n v="0.91195489968496102"/>
    <n v="0.49779601763185893"/>
    <n v="0.28217396638449271"/>
  </r>
  <r>
    <n v="1.0224816643086259"/>
    <n v="1.2494648998187272"/>
    <n v="1.10683635543476"/>
    <n v="0.52099371280008422"/>
    <n v="0.31516949781173503"/>
  </r>
  <r>
    <n v="0.8020339993742045"/>
    <n v="0.79232037699794722"/>
    <n v="0.79858011433745002"/>
    <n v="0.74353041046825286"/>
    <n v="0.21790083501851354"/>
  </r>
  <r>
    <n v="0.51481527305427888"/>
    <n v="0.60450316921535996"/>
    <n v="0.54832685648617174"/>
    <n v="0.45449070542417797"/>
    <n v="0.23268019594121764"/>
  </r>
  <r>
    <n v="0.76164954378528182"/>
    <n v="0.56144625782417856"/>
    <n v="0.6980281654888707"/>
    <n v="0.11177273393109829"/>
    <n v="9.7065831014820941E-2"/>
  </r>
  <r>
    <n v="0.31057187803200859"/>
    <n v="0.29330462165728921"/>
    <n v="0.30438630642481812"/>
    <n v="0.19506812866577622"/>
    <n v="0.14421335374647154"/>
  </r>
  <r>
    <n v="0.96753392601503285"/>
    <n v="0.94275371591082646"/>
    <n v="0.95906601601084585"/>
    <n v="0.71845715162462631"/>
    <n v="0.35972400466388321"/>
  </r>
  <r>
    <n v="0.94678897983758981"/>
    <n v="1.0063247675409781"/>
    <n v="0.96752744144686076"/>
    <n v="0.64638260853369145"/>
    <n v="0.30834109955781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A6A1E-DFBC-497A-BDFD-A7754C13670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numFmtId="2" showAll="0"/>
    <pivotField dataField="1" numFmtId="2" showAll="0"/>
    <pivotField dataField="1" numFmtId="2" showAll="0"/>
    <pivotField dataField="1" numFmtId="2" showAll="0"/>
    <pivotField dataField="1" numFmtId="2" showAll="0"/>
  </pivotFields>
  <rowItems count="1">
    <i/>
  </rowItems>
  <colFields count="1">
    <field x="-2"/>
  </colFields>
  <colItems count="5">
    <i>
      <x/>
    </i>
    <i i="1">
      <x v="1"/>
    </i>
    <i i="2">
      <x v="2"/>
    </i>
    <i i="3">
      <x v="3"/>
    </i>
    <i i="4">
      <x v="4"/>
    </i>
  </colItems>
  <dataFields count="5">
    <dataField name="Sum of Primary" fld="0" baseField="0" baseItem="0" numFmtId="2"/>
    <dataField name="Sum of Upper Primary" fld="1" baseField="0" baseItem="0" numFmtId="2"/>
    <dataField name="Sum of Elementary" fld="2" baseField="0" baseItem="0" numFmtId="2"/>
    <dataField name="Sum of Secondary" fld="3" baseField="0" baseItem="0" numFmtId="2"/>
    <dataField name="Sum of Higher Secondary"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32536-9545-4331-85D3-1B6258CCF1E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0:L207" firstHeaderRow="1" firstDataRow="1" firstDataCol="0"/>
  <pivotFields count="9">
    <pivotField showAll="0">
      <items count="24">
        <item x="9"/>
        <item x="3"/>
        <item x="16"/>
        <item x="1"/>
        <item x="18"/>
        <item x="21"/>
        <item x="2"/>
        <item x="10"/>
        <item x="4"/>
        <item x="11"/>
        <item x="0"/>
        <item x="12"/>
        <item x="15"/>
        <item x="7"/>
        <item x="22"/>
        <item x="14"/>
        <item x="17"/>
        <item x="20"/>
        <item x="19"/>
        <item x="6"/>
        <item x="5"/>
        <item x="8"/>
        <item x="13"/>
        <item t="default"/>
      </items>
    </pivotField>
    <pivotField showAll="0">
      <items count="12">
        <item x="1"/>
        <item x="9"/>
        <item x="10"/>
        <item x="0"/>
        <item x="5"/>
        <item x="6"/>
        <item x="4"/>
        <item x="3"/>
        <item x="2"/>
        <item x="8"/>
        <item x="7"/>
        <item t="default"/>
      </items>
    </pivotField>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6B317-6D87-4876-AFE4-A74AB141F4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7:H241" firstHeaderRow="0" firstDataRow="1" firstDataCol="1"/>
  <pivotFields count="9">
    <pivotField axis="axisRow" showAll="0">
      <items count="24">
        <item x="9"/>
        <item x="3"/>
        <item x="16"/>
        <item x="1"/>
        <item x="18"/>
        <item x="21"/>
        <item x="2"/>
        <item x="10"/>
        <item x="4"/>
        <item x="11"/>
        <item x="0"/>
        <item x="12"/>
        <item x="15"/>
        <item x="7"/>
        <item x="22"/>
        <item x="14"/>
        <item x="17"/>
        <item x="20"/>
        <item x="19"/>
        <item x="6"/>
        <item x="5"/>
        <item x="8"/>
        <item x="13"/>
        <item t="default"/>
      </items>
    </pivotField>
    <pivotField showAll="0">
      <items count="12">
        <item x="1"/>
        <item x="9"/>
        <item x="10"/>
        <item x="0"/>
        <item x="5"/>
        <item x="6"/>
        <item x="4"/>
        <item x="3"/>
        <item x="2"/>
        <item x="8"/>
        <item x="7"/>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7">
    <i>
      <x/>
    </i>
    <i i="1">
      <x v="1"/>
    </i>
    <i i="2">
      <x v="2"/>
    </i>
    <i i="3">
      <x v="3"/>
    </i>
    <i i="4">
      <x v="4"/>
    </i>
    <i i="5">
      <x v="5"/>
    </i>
    <i i="6">
      <x v="6"/>
    </i>
  </colItems>
  <dataFields count="7">
    <dataField name="Sum of Mathematics" fld="2" baseField="0" baseItem="0"/>
    <dataField name="Sum of Science" fld="3" baseField="0" baseItem="0"/>
    <dataField name="Sum of English" fld="4" baseField="0" baseItem="0"/>
    <dataField name="Sum of Hindi" fld="5" baseField="0" baseItem="0"/>
    <dataField name="Sum of Social Studies" fld="6" baseField="0" baseItem="0"/>
    <dataField name="Sum of Computer Science" fld="7" baseField="0" baseItem="0"/>
    <dataField name="Max of Total Marks" fld="8" subtotal="max" baseField="0"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9DE0F-4B57-4026-8785-A9E6374FECD7}"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4:C171" firstHeaderRow="1" firstDataRow="1" firstDataCol="0"/>
  <pivotFields count="13">
    <pivotField showAll="0"/>
    <pivotField showAll="0">
      <items count="139">
        <item x="9"/>
        <item x="137"/>
        <item x="65"/>
        <item x="60"/>
        <item x="29"/>
        <item x="107"/>
        <item x="32"/>
        <item x="131"/>
        <item x="40"/>
        <item x="82"/>
        <item x="43"/>
        <item x="24"/>
        <item x="22"/>
        <item x="31"/>
        <item x="70"/>
        <item x="20"/>
        <item x="25"/>
        <item x="71"/>
        <item x="72"/>
        <item x="56"/>
        <item x="73"/>
        <item x="3"/>
        <item x="121"/>
        <item x="81"/>
        <item x="16"/>
        <item x="19"/>
        <item x="114"/>
        <item x="90"/>
        <item x="136"/>
        <item x="74"/>
        <item x="120"/>
        <item x="85"/>
        <item x="124"/>
        <item x="62"/>
        <item x="135"/>
        <item x="35"/>
        <item x="99"/>
        <item x="1"/>
        <item x="105"/>
        <item x="18"/>
        <item x="130"/>
        <item x="30"/>
        <item x="27"/>
        <item x="96"/>
        <item x="132"/>
        <item x="129"/>
        <item x="46"/>
        <item x="101"/>
        <item x="23"/>
        <item x="47"/>
        <item x="50"/>
        <item x="10"/>
        <item x="78"/>
        <item x="127"/>
        <item x="91"/>
        <item x="28"/>
        <item x="63"/>
        <item x="41"/>
        <item x="8"/>
        <item x="44"/>
        <item x="4"/>
        <item x="87"/>
        <item x="49"/>
        <item x="11"/>
        <item x="118"/>
        <item x="37"/>
        <item x="104"/>
        <item x="123"/>
        <item x="126"/>
        <item x="55"/>
        <item x="102"/>
        <item x="0"/>
        <item x="86"/>
        <item x="12"/>
        <item x="64"/>
        <item x="15"/>
        <item x="116"/>
        <item x="59"/>
        <item x="67"/>
        <item x="111"/>
        <item x="128"/>
        <item x="54"/>
        <item x="48"/>
        <item x="83"/>
        <item x="97"/>
        <item x="92"/>
        <item x="89"/>
        <item x="7"/>
        <item x="45"/>
        <item x="134"/>
        <item x="14"/>
        <item x="17"/>
        <item x="109"/>
        <item x="75"/>
        <item x="77"/>
        <item x="106"/>
        <item x="125"/>
        <item x="34"/>
        <item x="117"/>
        <item x="21"/>
        <item x="52"/>
        <item x="38"/>
        <item x="66"/>
        <item x="88"/>
        <item x="58"/>
        <item x="51"/>
        <item x="108"/>
        <item x="113"/>
        <item x="68"/>
        <item x="80"/>
        <item x="6"/>
        <item x="69"/>
        <item x="5"/>
        <item x="133"/>
        <item x="110"/>
        <item x="33"/>
        <item x="115"/>
        <item x="98"/>
        <item x="76"/>
        <item x="94"/>
        <item x="103"/>
        <item x="84"/>
        <item x="26"/>
        <item x="53"/>
        <item x="95"/>
        <item x="2"/>
        <item x="112"/>
        <item x="36"/>
        <item x="93"/>
        <item x="79"/>
        <item x="13"/>
        <item x="119"/>
        <item x="122"/>
        <item x="61"/>
        <item x="57"/>
        <item x="39"/>
        <item x="42"/>
        <item x="100"/>
        <item t="default"/>
      </items>
    </pivotField>
    <pivotField showAll="0">
      <items count="11">
        <item x="1"/>
        <item x="9"/>
        <item x="0"/>
        <item x="5"/>
        <item x="6"/>
        <item x="4"/>
        <item x="3"/>
        <item x="2"/>
        <item x="8"/>
        <item x="7"/>
        <item t="default"/>
      </items>
    </pivotField>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92E885-4F7C-4F31-A549-030D828B151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4:L35" firstHeaderRow="0" firstDataRow="1" firstDataCol="0"/>
  <pivotFields count="5">
    <pivotField dataField="1" numFmtId="2" showAll="0">
      <items count="38">
        <item x="8"/>
        <item x="34"/>
        <item x="24"/>
        <item x="32"/>
        <item x="9"/>
        <item x="12"/>
        <item x="26"/>
        <item x="33"/>
        <item x="22"/>
        <item x="4"/>
        <item x="0"/>
        <item x="28"/>
        <item x="19"/>
        <item x="13"/>
        <item x="16"/>
        <item x="21"/>
        <item x="31"/>
        <item x="36"/>
        <item x="29"/>
        <item x="35"/>
        <item x="11"/>
        <item x="2"/>
        <item x="15"/>
        <item x="7"/>
        <item x="3"/>
        <item x="10"/>
        <item x="23"/>
        <item x="1"/>
        <item x="30"/>
        <item x="6"/>
        <item x="25"/>
        <item x="27"/>
        <item x="5"/>
        <item x="14"/>
        <item x="20"/>
        <item x="18"/>
        <item x="17"/>
        <item t="default"/>
      </items>
    </pivotField>
    <pivotField dataField="1" numFmtId="2" showAll="0">
      <items count="38">
        <item x="34"/>
        <item x="22"/>
        <item x="33"/>
        <item x="24"/>
        <item x="8"/>
        <item x="4"/>
        <item x="32"/>
        <item x="21"/>
        <item x="12"/>
        <item x="9"/>
        <item x="3"/>
        <item x="28"/>
        <item x="29"/>
        <item x="31"/>
        <item x="35"/>
        <item x="0"/>
        <item x="26"/>
        <item x="19"/>
        <item x="13"/>
        <item x="15"/>
        <item x="7"/>
        <item x="36"/>
        <item x="2"/>
        <item x="16"/>
        <item x="11"/>
        <item x="6"/>
        <item x="1"/>
        <item x="27"/>
        <item x="14"/>
        <item x="20"/>
        <item x="10"/>
        <item x="30"/>
        <item x="25"/>
        <item x="18"/>
        <item x="23"/>
        <item x="5"/>
        <item x="17"/>
        <item t="default"/>
      </items>
    </pivotField>
    <pivotField dataField="1" numFmtId="2" showAll="0">
      <items count="38">
        <item x="34"/>
        <item x="8"/>
        <item x="24"/>
        <item x="22"/>
        <item x="33"/>
        <item x="32"/>
        <item x="4"/>
        <item x="12"/>
        <item x="9"/>
        <item x="26"/>
        <item x="0"/>
        <item x="28"/>
        <item x="19"/>
        <item x="21"/>
        <item x="13"/>
        <item x="31"/>
        <item x="29"/>
        <item x="35"/>
        <item x="16"/>
        <item x="36"/>
        <item x="15"/>
        <item x="7"/>
        <item x="3"/>
        <item x="2"/>
        <item x="11"/>
        <item x="6"/>
        <item x="1"/>
        <item x="10"/>
        <item x="30"/>
        <item x="27"/>
        <item x="23"/>
        <item x="25"/>
        <item x="14"/>
        <item x="20"/>
        <item x="18"/>
        <item x="5"/>
        <item x="17"/>
        <item t="default"/>
      </items>
    </pivotField>
    <pivotField dataField="1" numFmtId="2" showAll="0">
      <items count="38">
        <item x="33"/>
        <item x="4"/>
        <item x="22"/>
        <item x="34"/>
        <item x="3"/>
        <item x="15"/>
        <item x="24"/>
        <item x="19"/>
        <item x="8"/>
        <item x="28"/>
        <item x="32"/>
        <item x="6"/>
        <item x="12"/>
        <item x="30"/>
        <item x="36"/>
        <item x="21"/>
        <item x="35"/>
        <item x="2"/>
        <item x="11"/>
        <item x="16"/>
        <item x="13"/>
        <item x="9"/>
        <item x="29"/>
        <item x="31"/>
        <item x="0"/>
        <item x="27"/>
        <item x="25"/>
        <item x="26"/>
        <item x="1"/>
        <item x="10"/>
        <item x="14"/>
        <item x="20"/>
        <item x="7"/>
        <item x="18"/>
        <item x="17"/>
        <item x="5"/>
        <item x="23"/>
        <item t="default"/>
      </items>
    </pivotField>
    <pivotField dataField="1" numFmtId="2" showAll="0">
      <items count="38">
        <item h="1" x="16"/>
        <item x="31"/>
        <item h="1" x="3"/>
        <item h="1" x="24"/>
        <item h="1" x="33"/>
        <item h="1" x="15"/>
        <item h="1" x="8"/>
        <item h="1" x="22"/>
        <item h="1" x="34"/>
        <item h="1" x="4"/>
        <item h="1" x="21"/>
        <item h="1" x="19"/>
        <item h="1" x="6"/>
        <item h="1" x="12"/>
        <item h="1" x="28"/>
        <item h="1" x="32"/>
        <item h="1" x="30"/>
        <item h="1" x="36"/>
        <item h="1" x="35"/>
        <item h="1" x="10"/>
        <item h="1" x="2"/>
        <item h="1" x="29"/>
        <item h="1" x="25"/>
        <item h="1" x="13"/>
        <item h="1" x="20"/>
        <item h="1" x="14"/>
        <item h="1" x="0"/>
        <item h="1" x="11"/>
        <item h="1" x="5"/>
        <item h="1" x="9"/>
        <item h="1" x="27"/>
        <item h="1" x="18"/>
        <item h="1" x="1"/>
        <item h="1" x="26"/>
        <item h="1" x="7"/>
        <item h="1" x="17"/>
        <item h="1" x="23"/>
        <item t="default"/>
      </items>
    </pivotField>
  </pivotFields>
  <rowItems count="1">
    <i/>
  </rowItems>
  <colFields count="1">
    <field x="-2"/>
  </colFields>
  <colItems count="5">
    <i>
      <x/>
    </i>
    <i i="1">
      <x v="1"/>
    </i>
    <i i="2">
      <x v="2"/>
    </i>
    <i i="3">
      <x v="3"/>
    </i>
    <i i="4">
      <x v="4"/>
    </i>
  </colItems>
  <dataFields count="5">
    <dataField name="Count of Upper Primary" fld="1" subtotal="count" baseField="0" baseItem="2"/>
    <dataField name="Count of Elementary" fld="2" subtotal="count" baseField="0" baseItem="2"/>
    <dataField name="Count of Secondary" fld="3" subtotal="count" baseField="0" baseItem="2"/>
    <dataField name="Average of Higher Secondary" fld="4" subtotal="average" baseField="0" baseItem="2" numFmtId="2"/>
    <dataField name="Count of Primary" fld="0" subtotal="count" baseField="0" baseItem="2"/>
  </dataFields>
  <conditionalFormats count="1">
    <conditionalFormat priority="6">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AFCC5F-A48E-447F-B343-7010A9434F74}" autoFormatId="16" applyNumberFormats="0" applyBorderFormats="0" applyFontFormats="0" applyPatternFormats="0" applyAlignmentFormats="0" applyWidthHeightFormats="0">
  <queryTableRefresh nextId="14">
    <queryTableFields count="13">
      <queryTableField id="1" name="Student ID" tableColumnId="1"/>
      <queryTableField id="2" name="Student Name" tableColumnId="2"/>
      <queryTableField id="3" name="Class" tableColumnId="3"/>
      <queryTableField id="4" name="Mathematics" tableColumnId="4"/>
      <queryTableField id="5" name="Science" tableColumnId="5"/>
      <queryTableField id="6" name="English" tableColumnId="6"/>
      <queryTableField id="7" name="Hindi" tableColumnId="7"/>
      <queryTableField id="8" name="Social Studies" tableColumnId="8"/>
      <queryTableField id="9" name="Computer Science" tableColumnId="9"/>
      <queryTableField id="13" dataBound="0" tableColumnId="13"/>
      <queryTableField id="10" name="Total Marks" tableColumnId="10"/>
      <queryTableField id="11" name="Percentage" tableColumnId="11"/>
      <queryTableField id="12" name="Grad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710EFCA-E217-4749-9D00-4B916C1D3F53}" autoFormatId="16" applyNumberFormats="0" applyBorderFormats="0" applyFontFormats="0" applyPatternFormats="0" applyAlignmentFormats="0" applyWidthHeightFormats="0">
  <queryTableRefresh nextId="152">
    <queryTableFields count="151">
      <queryTableField id="1" name="Student ID" tableColumnId="1"/>
      <queryTableField id="2" name="STU001" tableColumnId="2"/>
      <queryTableField id="3" name="STU002" tableColumnId="3"/>
      <queryTableField id="4" name="STU003" tableColumnId="4"/>
      <queryTableField id="5" name="STU004" tableColumnId="5"/>
      <queryTableField id="6" name="STU005" tableColumnId="6"/>
      <queryTableField id="7" name="STU006" tableColumnId="7"/>
      <queryTableField id="8" name="STU007" tableColumnId="8"/>
      <queryTableField id="9" name="STU008" tableColumnId="9"/>
      <queryTableField id="10" name="STU009" tableColumnId="10"/>
      <queryTableField id="11" name="STU010" tableColumnId="11"/>
      <queryTableField id="12" name="STU011" tableColumnId="12"/>
      <queryTableField id="13" name="STU012" tableColumnId="13"/>
      <queryTableField id="14" name="STU013" tableColumnId="14"/>
      <queryTableField id="15" name="STU014" tableColumnId="15"/>
      <queryTableField id="16" name="STU015" tableColumnId="16"/>
      <queryTableField id="17" name="STU016" tableColumnId="17"/>
      <queryTableField id="18" name="STU017" tableColumnId="18"/>
      <queryTableField id="19" name="STU018" tableColumnId="19"/>
      <queryTableField id="20" name="STU019" tableColumnId="20"/>
      <queryTableField id="21" name="STU020" tableColumnId="21"/>
      <queryTableField id="22" name="STU021" tableColumnId="22"/>
      <queryTableField id="23" name="STU022" tableColumnId="23"/>
      <queryTableField id="24" name="STU023" tableColumnId="24"/>
      <queryTableField id="25" name="STU024" tableColumnId="25"/>
      <queryTableField id="26" name="STU025" tableColumnId="26"/>
      <queryTableField id="27" name="STU026" tableColumnId="27"/>
      <queryTableField id="28" name="STU027" tableColumnId="28"/>
      <queryTableField id="29" name="STU028" tableColumnId="29"/>
      <queryTableField id="30" name="STU029" tableColumnId="30"/>
      <queryTableField id="31" name="STU030" tableColumnId="31"/>
      <queryTableField id="32" name="STU031" tableColumnId="32"/>
      <queryTableField id="33" name="STU032" tableColumnId="33"/>
      <queryTableField id="34" name="STU033" tableColumnId="34"/>
      <queryTableField id="35" name="STU034" tableColumnId="35"/>
      <queryTableField id="36" name="STU035" tableColumnId="36"/>
      <queryTableField id="37" name="STU036" tableColumnId="37"/>
      <queryTableField id="38" name="STU037" tableColumnId="38"/>
      <queryTableField id="39" name="STU038" tableColumnId="39"/>
      <queryTableField id="40" name="STU039" tableColumnId="40"/>
      <queryTableField id="41" name="STU040" tableColumnId="41"/>
      <queryTableField id="42" name="STU041" tableColumnId="42"/>
      <queryTableField id="43" name="STU042" tableColumnId="43"/>
      <queryTableField id="44" name="STU043" tableColumnId="44"/>
      <queryTableField id="45" name="STU044" tableColumnId="45"/>
      <queryTableField id="46" name="STU045" tableColumnId="46"/>
      <queryTableField id="47" name="STU046" tableColumnId="47"/>
      <queryTableField id="48" name="STU047" tableColumnId="48"/>
      <queryTableField id="49" name="STU048" tableColumnId="49"/>
      <queryTableField id="50" name="STU049" tableColumnId="50"/>
      <queryTableField id="51" name="STU050" tableColumnId="51"/>
      <queryTableField id="52" name="STU051" tableColumnId="52"/>
      <queryTableField id="53" name="STU052" tableColumnId="53"/>
      <queryTableField id="54" name="STU053" tableColumnId="54"/>
      <queryTableField id="55" name="STU054" tableColumnId="55"/>
      <queryTableField id="56" name="STU055" tableColumnId="56"/>
      <queryTableField id="57" name="STU056" tableColumnId="57"/>
      <queryTableField id="58" name="STU057" tableColumnId="58"/>
      <queryTableField id="59" name="STU058" tableColumnId="59"/>
      <queryTableField id="60" name="STU059" tableColumnId="60"/>
      <queryTableField id="61" name="STU060" tableColumnId="61"/>
      <queryTableField id="62" name="STU061" tableColumnId="62"/>
      <queryTableField id="63" name="STU062" tableColumnId="63"/>
      <queryTableField id="64" name="STU063" tableColumnId="64"/>
      <queryTableField id="65" name="STU064" tableColumnId="65"/>
      <queryTableField id="66" name="STU065" tableColumnId="66"/>
      <queryTableField id="67" name="STU066" tableColumnId="67"/>
      <queryTableField id="68" name="STU067" tableColumnId="68"/>
      <queryTableField id="69" name="STU068" tableColumnId="69"/>
      <queryTableField id="70" name="STU069" tableColumnId="70"/>
      <queryTableField id="71" name="STU070" tableColumnId="71"/>
      <queryTableField id="72" name="STU071" tableColumnId="72"/>
      <queryTableField id="73" name="STU072" tableColumnId="73"/>
      <queryTableField id="74" name="STU073" tableColumnId="74"/>
      <queryTableField id="75" name="STU074" tableColumnId="75"/>
      <queryTableField id="76" name="STU075" tableColumnId="76"/>
      <queryTableField id="77" name="STU076" tableColumnId="77"/>
      <queryTableField id="78" name="STU077" tableColumnId="78"/>
      <queryTableField id="79" name="STU078" tableColumnId="79"/>
      <queryTableField id="80" name="STU079" tableColumnId="80"/>
      <queryTableField id="81" name="STU080" tableColumnId="81"/>
      <queryTableField id="82" name="STU081" tableColumnId="82"/>
      <queryTableField id="83" name="STU082" tableColumnId="83"/>
      <queryTableField id="84" name="STU083" tableColumnId="84"/>
      <queryTableField id="85" name="STU084" tableColumnId="85"/>
      <queryTableField id="86" name="STU085" tableColumnId="86"/>
      <queryTableField id="87" name="STU086" tableColumnId="87"/>
      <queryTableField id="88" name="STU087" tableColumnId="88"/>
      <queryTableField id="89" name="STU088" tableColumnId="89"/>
      <queryTableField id="90" name="STU089" tableColumnId="90"/>
      <queryTableField id="91" name="STU090" tableColumnId="91"/>
      <queryTableField id="92" name="STU091" tableColumnId="92"/>
      <queryTableField id="93" name="STU092" tableColumnId="93"/>
      <queryTableField id="94" name="STU093" tableColumnId="94"/>
      <queryTableField id="95" name="STU094" tableColumnId="95"/>
      <queryTableField id="96" name="STU095" tableColumnId="96"/>
      <queryTableField id="97" name="STU096" tableColumnId="97"/>
      <queryTableField id="98" name="STU097" tableColumnId="98"/>
      <queryTableField id="99" name="STU098" tableColumnId="99"/>
      <queryTableField id="100" name="STU099" tableColumnId="100"/>
      <queryTableField id="101" name="STU100" tableColumnId="101"/>
      <queryTableField id="102" name="STU101" tableColumnId="102"/>
      <queryTableField id="103" name="STU102" tableColumnId="103"/>
      <queryTableField id="104" name="STU103" tableColumnId="104"/>
      <queryTableField id="105" name="STU104" tableColumnId="105"/>
      <queryTableField id="106" name="STU105" tableColumnId="106"/>
      <queryTableField id="107" name="STU106" tableColumnId="107"/>
      <queryTableField id="108" name="STU107" tableColumnId="108"/>
      <queryTableField id="109" name="STU108" tableColumnId="109"/>
      <queryTableField id="110" name="STU109" tableColumnId="110"/>
      <queryTableField id="111" name="STU110" tableColumnId="111"/>
      <queryTableField id="112" name="STU111" tableColumnId="112"/>
      <queryTableField id="113" name="STU112" tableColumnId="113"/>
      <queryTableField id="114" name="STU113" tableColumnId="114"/>
      <queryTableField id="115" name="STU114" tableColumnId="115"/>
      <queryTableField id="116" name="STU115" tableColumnId="116"/>
      <queryTableField id="117" name="STU116" tableColumnId="117"/>
      <queryTableField id="118" name="STU117" tableColumnId="118"/>
      <queryTableField id="119" name="STU118" tableColumnId="119"/>
      <queryTableField id="120" name="STU119" tableColumnId="120"/>
      <queryTableField id="121" name="STU120" tableColumnId="121"/>
      <queryTableField id="122" name="STU121" tableColumnId="122"/>
      <queryTableField id="123" name="STU122" tableColumnId="123"/>
      <queryTableField id="124" name="STU123" tableColumnId="124"/>
      <queryTableField id="125" name="STU124" tableColumnId="125"/>
      <queryTableField id="126" name="STU125" tableColumnId="126"/>
      <queryTableField id="127" name="STU126" tableColumnId="127"/>
      <queryTableField id="128" name="STU127" tableColumnId="128"/>
      <queryTableField id="129" name="STU128" tableColumnId="129"/>
      <queryTableField id="130" name="STU129" tableColumnId="130"/>
      <queryTableField id="131" name="STU130" tableColumnId="131"/>
      <queryTableField id="132" name="STU131" tableColumnId="132"/>
      <queryTableField id="133" name="STU132" tableColumnId="133"/>
      <queryTableField id="134" name="STU133" tableColumnId="134"/>
      <queryTableField id="135" name="STU134" tableColumnId="135"/>
      <queryTableField id="136" name="STU135" tableColumnId="136"/>
      <queryTableField id="137" name="STU136" tableColumnId="137"/>
      <queryTableField id="138" name="STU137" tableColumnId="138"/>
      <queryTableField id="139" name="STU138" tableColumnId="139"/>
      <queryTableField id="140" name="STU139" tableColumnId="140"/>
      <queryTableField id="141" name="STU140" tableColumnId="141"/>
      <queryTableField id="142" name="STU141" tableColumnId="142"/>
      <queryTableField id="143" name="STU142" tableColumnId="143"/>
      <queryTableField id="144" name="STU143" tableColumnId="144"/>
      <queryTableField id="145" name="STU144" tableColumnId="145"/>
      <queryTableField id="146" name="STU145" tableColumnId="146"/>
      <queryTableField id="147" name="STU146" tableColumnId="147"/>
      <queryTableField id="148" name="STU147" tableColumnId="148"/>
      <queryTableField id="149" name="STU148" tableColumnId="149"/>
      <queryTableField id="150" name="STU149" tableColumnId="150"/>
      <queryTableField id="151" name="STU150" tableColumnId="1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mentary" xr10:uid="{C3670B34-4666-47D0-AECF-E7D79B73C71E}" sourceName="Elementary">
  <data>
    <tabular pivotCacheId="913061605">
      <items count="37">
        <i x="34" s="1"/>
        <i x="8" s="1"/>
        <i x="24" s="1"/>
        <i x="22" s="1"/>
        <i x="33" s="1"/>
        <i x="32" s="1"/>
        <i x="4" s="1"/>
        <i x="12" s="1"/>
        <i x="9" s="1"/>
        <i x="26" s="1"/>
        <i x="0" s="1"/>
        <i x="28" s="1"/>
        <i x="19" s="1"/>
        <i x="21" s="1"/>
        <i x="13" s="1"/>
        <i x="31" s="1"/>
        <i x="29" s="1"/>
        <i x="35" s="1"/>
        <i x="16" s="1"/>
        <i x="36" s="1"/>
        <i x="15" s="1"/>
        <i x="7" s="1"/>
        <i x="3" s="1"/>
        <i x="2" s="1"/>
        <i x="11" s="1"/>
        <i x="6" s="1"/>
        <i x="1" s="1"/>
        <i x="10" s="1"/>
        <i x="30" s="1"/>
        <i x="27" s="1"/>
        <i x="23" s="1"/>
        <i x="25" s="1"/>
        <i x="14" s="1"/>
        <i x="20" s="1"/>
        <i x="18" s="1"/>
        <i x="5"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ondary" xr10:uid="{D3930DE2-6989-49A9-A637-8518DDDD1F56}" sourceName="Secondary">
  <data>
    <tabular pivotCacheId="913061605">
      <items count="37">
        <i x="33" s="1"/>
        <i x="4" s="1"/>
        <i x="22" s="1"/>
        <i x="34" s="1"/>
        <i x="3" s="1"/>
        <i x="15" s="1"/>
        <i x="24" s="1"/>
        <i x="19" s="1"/>
        <i x="8" s="1"/>
        <i x="28" s="1"/>
        <i x="32" s="1"/>
        <i x="6" s="1"/>
        <i x="12" s="1"/>
        <i x="30" s="1"/>
        <i x="36" s="1"/>
        <i x="21" s="1"/>
        <i x="35" s="1"/>
        <i x="2" s="1"/>
        <i x="11" s="1"/>
        <i x="16" s="1"/>
        <i x="13" s="1"/>
        <i x="9" s="1"/>
        <i x="29" s="1"/>
        <i x="31" s="1"/>
        <i x="0" s="1"/>
        <i x="27" s="1"/>
        <i x="25" s="1"/>
        <i x="26" s="1"/>
        <i x="1" s="1"/>
        <i x="10" s="1"/>
        <i x="14" s="1"/>
        <i x="20" s="1"/>
        <i x="7" s="1"/>
        <i x="18" s="1"/>
        <i x="17" s="1"/>
        <i x="5"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lementary" xr10:uid="{F3FC92CF-8A73-4591-AFC0-0FA6FE950F88}" cache="Slicer_Elementary" caption="Elementary" rowHeight="241300"/>
  <slicer name="Secondary" xr10:uid="{6B99C0B1-210B-4A60-9F92-83269EE8C15D}" cache="Slicer_Secondary" caption="Secondary" rowHeight="241300"/>
</slicers>
</file>

<file path=xl/tables/_rels/table9.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2454F-247D-4DED-858A-E72D38F23E28}" name="Table4" displayName="Table4" ref="A35:J45" totalsRowShown="0">
  <autoFilter ref="A35:J45" xr:uid="{B83435D2-16D5-449B-8D4B-CBAABAF3EED9}"/>
  <tableColumns count="10">
    <tableColumn id="1" xr3:uid="{71DD6BF9-A7AB-4016-9AE6-C7468BD58179}" name="Products"/>
    <tableColumn id="2" xr3:uid="{90E694A9-A563-43D5-9049-2B9861860687}" name="Amount"/>
    <tableColumn id="3" xr3:uid="{FC359B18-DB6D-4364-A2F0-36C0C567F13F}" name="Qty"/>
    <tableColumn id="4" xr3:uid="{A025D83E-17D8-41A7-A75F-2802B0ECF25D}" name="Sum">
      <calculatedColumnFormula>SUM(B36:C36)</calculatedColumnFormula>
    </tableColumn>
    <tableColumn id="5" xr3:uid="{5D323F90-D795-485D-8B52-A12EC575412E}" name="Average">
      <calculatedColumnFormula>AVERAGE(B36:C36)</calculatedColumnFormula>
    </tableColumn>
    <tableColumn id="6" xr3:uid="{2C265041-7A23-4E65-8A48-EE5DD8C1C36C}" name="Min">
      <calculatedColumnFormula>MIN(B36:C36)</calculatedColumnFormula>
    </tableColumn>
    <tableColumn id="7" xr3:uid="{6C03CEF4-BDC2-4AE5-A3C6-63D88029A38C}" name="Max">
      <calculatedColumnFormula>MAX(B36:C36)</calculatedColumnFormula>
    </tableColumn>
    <tableColumn id="8" xr3:uid="{941F318E-E87A-4CA5-BB73-E3733D8ACD2E}" name="Count">
      <calculatedColumnFormula>COUNT(B36:C36)</calculatedColumnFormula>
    </tableColumn>
    <tableColumn id="11" xr3:uid="{650B3E94-7BCC-42D0-9907-EABBF7189D1F}" name="Column1"/>
    <tableColumn id="9" xr3:uid="{59F7A797-B949-4179-A879-CB484CE18096}" name="Counta">
      <calculatedColumnFormula>COUNTA(B36:C36)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0B26BE-6CA1-4BD0-93B1-07EBB69178CC}" name="Table5" displayName="Table5" ref="A21:D32" totalsRowShown="0">
  <autoFilter ref="A21:D32" xr:uid="{7421D22F-25B7-4271-9014-B649C2A62405}"/>
  <tableColumns count="4">
    <tableColumn id="1" xr3:uid="{386AFBC6-0110-4B59-97D6-F2501EFDCEC0}" name="products"/>
    <tableColumn id="2" xr3:uid="{0D1AC878-AC64-4206-8135-BB47F937519D}" name="Amount"/>
    <tableColumn id="3" xr3:uid="{F95E6791-E2B1-44D8-878F-FDD15CD132F4}" name="qty"/>
    <tableColumn id="4" xr3:uid="{A0187663-C8CF-4548-BD08-307C5CEBDACA}" name="Rate">
      <calculatedColumnFormula>IFERROR(B22/C22,"-")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B464A4-8867-4A14-A5FA-9BDAA529F135}" name="Table6" displayName="Table6" ref="A15:F17" totalsRowShown="0">
  <autoFilter ref="A15:F17" xr:uid="{5628C46A-8071-4984-BEDD-68E7DAE87D54}"/>
  <tableColumns count="6">
    <tableColumn id="1" xr3:uid="{350286F0-A454-4743-997D-880AB09DE1B2}" name="Column1"/>
    <tableColumn id="2" xr3:uid="{4FDE3FAD-4B56-4B51-BBCB-9CA4CCD2EC1C}" name="Column2">
      <calculatedColumnFormula>HLOOKUP(A16,'Student Dataset (2)'!A1:J8,5,)</calculatedColumnFormula>
    </tableColumn>
    <tableColumn id="3" xr3:uid="{419A1704-BED2-412C-9541-0560BEEB0AE2}" name="Hlookup">
      <calculatedColumnFormula>HLOOKUP(A16,'Student Dataset (2)'!A1:EU8,6,)</calculatedColumnFormula>
    </tableColumn>
    <tableColumn id="4" xr3:uid="{0997726C-7ACE-4C48-B084-3A1C8F4736DC}" name="Column3">
      <calculatedColumnFormula>HLOOKUP(A16,'Student Dataset (2)'!A1:EU8,7,)</calculatedColumnFormula>
    </tableColumn>
    <tableColumn id="5" xr3:uid="{02E470B6-3E27-4509-8253-BEF0BBB2A67F}" name="Column4">
      <calculatedColumnFormula>HLOOKUP(A16,'Student Dataset (2)'!A1:EU8,8,)</calculatedColumnFormula>
    </tableColumn>
    <tableColumn id="6" xr3:uid="{16431DE6-1579-4796-B6E8-C4F3B16E5883}" name="Column5">
      <calculatedColumnFormula>HLOOKUP(A16,'Student Dataset (2)'!A1:EU8,3,FALSE)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3DD0CA-78C5-416B-A051-E6C248E6E564}" name="Table7" displayName="Table7" ref="A4:F5" totalsRowShown="0">
  <autoFilter ref="A4:F5" xr:uid="{E4F2EC34-199A-4534-AE9C-6A933B3040D7}"/>
  <tableColumns count="6">
    <tableColumn id="1" xr3:uid="{51DD6DE5-6DF1-44B5-A9EF-FB4331EBE639}" name="Name"/>
    <tableColumn id="2" xr3:uid="{4D2EF2AC-2FC4-4414-8659-27E044AC998D}" name="Primary">
      <calculatedColumnFormula>VLOOKUP(A5,'disablites 2016'!A4:F40,2,FALSE)</calculatedColumnFormula>
    </tableColumn>
    <tableColumn id="3" xr3:uid="{5402A0EE-3F8B-4EE5-B9A1-68E8C58355EF}" name="Secondary">
      <calculatedColumnFormula>VLOOKUP(A5,'disablites 2016'!A4:F40,3,TRUE)</calculatedColumnFormula>
    </tableColumn>
    <tableColumn id="4" xr3:uid="{4BD964F0-5F31-4D99-9406-B64D44E59033}" name="Upper ">
      <calculatedColumnFormula>VLOOKUP(A5,'disablites 2016'!A4:F40,4,FALSE)</calculatedColumnFormula>
    </tableColumn>
    <tableColumn id="5" xr3:uid="{DB69E64D-521D-4B1F-A14B-2E3530F6D039}" name="higher">
      <calculatedColumnFormula>VLOOKUP(A5,'disablites 2016'!A4:F40,5,FALSE)</calculatedColumnFormula>
    </tableColumn>
    <tableColumn id="6" xr3:uid="{73A901B5-87E6-4FC6-A9DF-7586298A247B}" name="Higer secondary">
      <calculatedColumnFormula>VLOOKUP(A5,'disablites 2016'!A4:F40,6,FALSE)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1B53A4-6996-4730-A5C4-F666FB101DC7}" name="Table8" displayName="Table8" ref="A6:C13" totalsRowShown="0">
  <autoFilter ref="A6:C13" xr:uid="{7A9ABEE8-A5B1-4EB3-85D0-AE1A14732531}"/>
  <sortState xmlns:xlrd2="http://schemas.microsoft.com/office/spreadsheetml/2017/richdata2" ref="A7:C13">
    <sortCondition ref="A8:A13"/>
  </sortState>
  <tableColumns count="3">
    <tableColumn id="1" xr3:uid="{FB35F26E-F463-4F8C-80E9-8D887C9E8618}" name="Column1"/>
    <tableColumn id="2" xr3:uid="{9E58094E-8C2F-450C-ABA0-C06D5D6399BA}" name="Column2"/>
    <tableColumn id="3" xr3:uid="{988594E2-58CC-4733-990C-568F597EAD4E}" name="Column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ED90BE-D098-411D-997F-813136DD4F02}" name="Table9" displayName="Table9" ref="A245:D249" totalsRowShown="0" headerRowDxfId="44" dataDxfId="43">
  <autoFilter ref="A245:D249" xr:uid="{962DE4C2-38AE-44E7-A887-DE3FA5F0A2F1}"/>
  <sortState xmlns:xlrd2="http://schemas.microsoft.com/office/spreadsheetml/2017/richdata2" ref="A246:D249">
    <sortCondition ref="A246:A249"/>
  </sortState>
  <tableColumns count="4">
    <tableColumn id="1" xr3:uid="{59D13F95-A477-447F-ADAE-74AB49C61316}" name="Roll No" dataDxfId="42"/>
    <tableColumn id="2" xr3:uid="{E082F635-907C-4BF9-8BD2-BADBC31A934B}" name="Student Name" dataDxfId="41"/>
    <tableColumn id="3" xr3:uid="{82BA5D4A-FBE3-4FC2-8846-5FD5D5F673AC}" name="Class" dataDxfId="40"/>
    <tableColumn id="4" xr3:uid="{633FFF75-B2CA-4BA4-A8B7-44F2D95845B3}" name="Math Marks" dataDxfId="3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19FA061-2DD4-48DB-B7D1-CFEF8B344EBE}" name="Table10" displayName="Table10" ref="A252:G272" totalsRowShown="0">
  <autoFilter ref="A252:G272" xr:uid="{2EA2F696-99EE-40DB-936A-4AF0E0E36B1A}"/>
  <tableColumns count="7">
    <tableColumn id="1" xr3:uid="{01C26574-F235-4694-A649-72EB71F95838}" name="Student Name"/>
    <tableColumn id="2" xr3:uid="{DDD78139-5428-450F-9960-9862DC728DAF}" name="Sem 1 CGPA"/>
    <tableColumn id="3" xr3:uid="{77667BD4-7091-4BBB-9856-B29A833FF6F1}" name="Sem 2 CGPA"/>
    <tableColumn id="4" xr3:uid="{951D85D8-B49F-4819-8EFB-D8CB4617CB2A}" name="Sem 3 CGPA"/>
    <tableColumn id="5" xr3:uid="{67B4F938-4082-44DA-960D-24B50563AB9B}" name="Sem 4 CGPA"/>
    <tableColumn id="8" xr3:uid="{6FC87DDC-373E-4EB4-8DC4-7F2EDE19ABFB}" name="Average" dataDxfId="38">
      <calculatedColumnFormula>AVERAGE(Table10[[#This Row],[Sem 1 CGPA]],Table10[[#This Row],[Sem 2 CGPA]],Table10[[#This Row],[Sem 3 CGPA]],Table10[[#This Row],[Sem 4 CGPA]],)</calculatedColumnFormula>
    </tableColumn>
    <tableColumn id="6" xr3:uid="{947E55D8-9CEA-4799-BF6C-3626A37C7A68}" name="Rank" dataDxfId="37">
      <calculatedColumnFormula>_xlfn.IFS(F253&gt;3,"NOT GOOD",F253&gt;7.5,"AVERAGE",F253&gt;8.5,"GOOD",F253&gt;9.5,"EXCELLENT")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3B20D6B-2FDF-45C4-A1B6-52386DCF425A}" name="Table12" displayName="Table12" ref="A283:E290" totalsRowShown="0">
  <autoFilter ref="A283:E290" xr:uid="{83B20D6B-2FDF-45C4-A1B6-52386DCF425A}"/>
  <tableColumns count="5">
    <tableColumn id="1" xr3:uid="{E584EF96-DD80-4B53-9EBC-E8D7706385F3}" name="Roll No "/>
    <tableColumn id="2" xr3:uid="{BE551D4E-9A4C-470C-B929-FE660B2BDF28}" name="Name "/>
    <tableColumn id="3" xr3:uid="{17609895-CA69-42C5-A8C2-551E4830B9CC}" name="Math "/>
    <tableColumn id="4" xr3:uid="{5E772122-A8AB-4F2D-BD73-45A3957CEB3F}" name="Science"/>
    <tableColumn id="5" xr3:uid="{41168DC0-DD17-4AB1-B7F9-2ED17C135F03}" name="Chemistr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1AAD094-DF3E-4586-821C-C2C8BDD4D361}" name="Student_Dataset" displayName="Student_Dataset" ref="A1:M152" tableType="queryTable" totalsRowCount="1">
  <autoFilter ref="A1:M151" xr:uid="{04903699-8334-4DC5-AA9B-1577F30C3953}"/>
  <sortState xmlns:xlrd2="http://schemas.microsoft.com/office/spreadsheetml/2017/richdata2" ref="A2:M151">
    <sortCondition ref="C2:C151" customList="6A,6B,7A,7B,8A,8B,9A,9B,10A,10B"/>
  </sortState>
  <tableColumns count="13">
    <tableColumn id="1" xr3:uid="{0B1D0D37-BD78-4BB9-AE52-BDEC4D024906}" uniqueName="1" name="Student ID" queryTableFieldId="1" dataDxfId="36" totalsRowDxfId="35"/>
    <tableColumn id="2" xr3:uid="{A8301AD2-FDF2-45C6-935F-9C50F4BB8359}" uniqueName="2" name="Student Name" queryTableFieldId="2" dataDxfId="34" totalsRowDxfId="33"/>
    <tableColumn id="3" xr3:uid="{0315A66D-B313-47A6-B34D-EFAEDE19C2C5}" uniqueName="3" name="Class" queryTableFieldId="3" dataDxfId="32" totalsRowDxfId="31"/>
    <tableColumn id="4" xr3:uid="{2B9FC214-A210-448A-9440-001017C0B1B1}" uniqueName="4" name="Mathematics" totalsRowFunction="custom" queryTableFieldId="4">
      <totalsRowFormula>SUM(D2:D151)</totalsRowFormula>
    </tableColumn>
    <tableColumn id="5" xr3:uid="{3670542B-F4AA-4B14-9AFC-C6602471802C}" uniqueName="5" name="Science" totalsRowFunction="custom" queryTableFieldId="5">
      <totalsRowFormula>SUM(E2:E151)</totalsRowFormula>
    </tableColumn>
    <tableColumn id="6" xr3:uid="{260D2CE1-53C9-4353-B913-7F4227ECDD96}" uniqueName="6" name="English" totalsRowFunction="custom" queryTableFieldId="6">
      <totalsRowFormula>SUM(F2:F151)</totalsRowFormula>
    </tableColumn>
    <tableColumn id="7" xr3:uid="{5E0003B3-69F8-4819-9C73-D81CF840E40C}" uniqueName="7" name="Hindi" totalsRowFunction="custom" queryTableFieldId="7">
      <totalsRowFormula>SUM(G2:G151)</totalsRowFormula>
    </tableColumn>
    <tableColumn id="8" xr3:uid="{534F8008-8D5E-4ADB-94B0-89BA1D6E4690}" uniqueName="8" name="Social Studies" totalsRowFunction="custom" queryTableFieldId="8">
      <totalsRowFormula>SUM(H2:H151)</totalsRowFormula>
    </tableColumn>
    <tableColumn id="9" xr3:uid="{6366CEC0-14E1-4E30-8C29-1049F834C53B}" uniqueName="9" name="Computer Science" totalsRowFunction="custom" queryTableFieldId="9">
      <totalsRowFormula>SUM(I2:I151)</totalsRowFormula>
    </tableColumn>
    <tableColumn id="13" xr3:uid="{9CCFB7F5-FD70-4DFD-A729-FA9FEEC63285}" uniqueName="13" name="Obtained Marks" queryTableFieldId="13" dataDxfId="30" totalsRowDxfId="29">
      <calculatedColumnFormula>SUM(Student_Dataset[[#This Row],[Mathematics]:[Computer Science]])</calculatedColumnFormula>
    </tableColumn>
    <tableColumn id="10" xr3:uid="{9DC337A1-17F0-4467-A5A8-AC89D48915C2}" uniqueName="10" name="Total Marks" queryTableFieldId="10" dataDxfId="28" totalsRowDxfId="27"/>
    <tableColumn id="11" xr3:uid="{644A11EB-48D4-47A2-92EF-E1AFCF19EC07}" uniqueName="11" name="Percentage" queryTableFieldId="11" dataDxfId="26" totalsRowDxfId="25"/>
    <tableColumn id="12" xr3:uid="{6DDAF51A-C326-4540-88E9-0A5D34D6B208}" uniqueName="12" name="Grade" queryTableFieldId="12" dataDxfId="24" totalsRowDxfId="2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260C5B-60A3-4803-88B7-79B60490B7FE}" name="Table11" displayName="Table11" ref="P2:Z11" totalsRowShown="0">
  <autoFilter ref="P2:Z11" xr:uid="{544943EA-BF6F-4F4F-ACA9-0D4DBE23EDE4}"/>
  <tableColumns count="11">
    <tableColumn id="1" xr3:uid="{B9AF8F31-6960-49D8-8E1F-09EAD1955E8B}" name="Column1"/>
    <tableColumn id="2" xr3:uid="{726A812D-0B91-44E0-AE5A-076C25D11FA7}" name="Column2"/>
    <tableColumn id="3" xr3:uid="{9BE6AF8A-A5D3-4296-AA53-A1DBDC893219}" name="Column3"/>
    <tableColumn id="4" xr3:uid="{BA4BD24A-7636-4E18-8C95-0CAE5DE19862}" name="Column4"/>
    <tableColumn id="5" xr3:uid="{5E5C3811-D1B2-4CF2-994C-62CB63677267}" name="Column5"/>
    <tableColumn id="6" xr3:uid="{684667AC-BB79-494E-A799-08CA76D0D0CD}" name="Column6"/>
    <tableColumn id="7" xr3:uid="{EF580EAC-7DB3-41C5-A5DB-45033DF1FA0C}" name="Column7"/>
    <tableColumn id="8" xr3:uid="{93F763A0-EEFE-4ABC-9B6F-A4542D52EA4F}" name="Column8"/>
    <tableColumn id="9" xr3:uid="{7AEAD352-AAC6-4D65-B7D9-7ACB6E43F927}" name="Column9"/>
    <tableColumn id="10" xr3:uid="{55CC6F29-7145-4F59-A5D7-C9AEB9A83DE8}" name="Column10"/>
    <tableColumn id="11" xr3:uid="{7A74FC0B-3B28-4772-99F1-257430D4C871}" name="Column1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C02B13-6574-4D22-B32C-48FEDBD994ED}" name="Student_Dataset__2" displayName="Student_Dataset__2" ref="A1:EU12" tableType="queryTable" totalsRowShown="0">
  <autoFilter ref="A1:EU12" xr:uid="{B38C8A14-F914-4DFA-A09F-A3275AE1B256}"/>
  <tableColumns count="151">
    <tableColumn id="1" xr3:uid="{2606B145-B8BE-44DB-8941-8E3FD8BC51B5}" uniqueName="1" name="Student ID" queryTableFieldId="1" dataDxfId="22"/>
    <tableColumn id="2" xr3:uid="{B102444D-D21F-48FA-88D9-1CA99E97300B}" uniqueName="2" name="STU001" queryTableFieldId="2"/>
    <tableColumn id="3" xr3:uid="{618DE45C-14BB-4C56-BCF1-E34FDC0E7E96}" uniqueName="3" name="STU002" queryTableFieldId="3"/>
    <tableColumn id="4" xr3:uid="{4D225371-3F83-43B3-8C72-3D5A10540D67}" uniqueName="4" name="STU003" queryTableFieldId="4"/>
    <tableColumn id="5" xr3:uid="{483BB421-2091-4898-98CD-3EEE17963F4F}" uniqueName="5" name="STU004" queryTableFieldId="5"/>
    <tableColumn id="6" xr3:uid="{C43BAF61-A35D-48B8-BC96-ED131DF49961}" uniqueName="6" name="STU005" queryTableFieldId="6"/>
    <tableColumn id="7" xr3:uid="{22D6E489-2AEF-46D5-BC77-94C7E929A523}" uniqueName="7" name="STU006" queryTableFieldId="7"/>
    <tableColumn id="8" xr3:uid="{85EAF37F-B84D-4AEE-BE52-145F80181207}" uniqueName="8" name="STU007" queryTableFieldId="8"/>
    <tableColumn id="9" xr3:uid="{7298CDDE-5D12-4D0A-9D7F-A6B6A269B3B7}" uniqueName="9" name="STU008" queryTableFieldId="9"/>
    <tableColumn id="10" xr3:uid="{01CE1F42-291F-4A74-B504-54BD7F970D75}" uniqueName="10" name="STU009" queryTableFieldId="10"/>
    <tableColumn id="11" xr3:uid="{74A57CD5-8140-4127-9409-E78BF0021297}" uniqueName="11" name="STU010" queryTableFieldId="11"/>
    <tableColumn id="12" xr3:uid="{A5FB7EA2-F1C4-4065-A0E2-86E2B624C7EA}" uniqueName="12" name="STU011" queryTableFieldId="12"/>
    <tableColumn id="13" xr3:uid="{F04CD072-3F64-4866-B2A8-41C094084BEB}" uniqueName="13" name="STU012" queryTableFieldId="13"/>
    <tableColumn id="14" xr3:uid="{E0F90314-31CC-4389-AF2D-EDC6200C1D4A}" uniqueName="14" name="STU013" queryTableFieldId="14"/>
    <tableColumn id="15" xr3:uid="{AADB9F68-95F7-490A-9A42-EE4455D6D553}" uniqueName="15" name="STU014" queryTableFieldId="15"/>
    <tableColumn id="16" xr3:uid="{49EB4D53-564F-4FCF-AF55-4F48634375AE}" uniqueName="16" name="STU015" queryTableFieldId="16"/>
    <tableColumn id="17" xr3:uid="{7A133A17-9448-4860-8A4B-D52DA1318690}" uniqueName="17" name="STU016" queryTableFieldId="17"/>
    <tableColumn id="18" xr3:uid="{D5408FAD-954B-4BE7-8CF5-71D7072E973C}" uniqueName="18" name="STU017" queryTableFieldId="18"/>
    <tableColumn id="19" xr3:uid="{2622B3C1-E9F9-4EBB-A823-194360BD50EC}" uniqueName="19" name="STU018" queryTableFieldId="19"/>
    <tableColumn id="20" xr3:uid="{6DDB52F9-00EF-4283-84AD-C60CCB26278D}" uniqueName="20" name="STU019" queryTableFieldId="20"/>
    <tableColumn id="21" xr3:uid="{E5A32AF1-B739-4C3A-A0F9-86CC61BF2088}" uniqueName="21" name="STU020" queryTableFieldId="21"/>
    <tableColumn id="22" xr3:uid="{1C775A44-D5B7-427A-90B4-88A315C9C911}" uniqueName="22" name="STU021" queryTableFieldId="22"/>
    <tableColumn id="23" xr3:uid="{9A110648-2097-44C9-8FB4-908624777A66}" uniqueName="23" name="STU022" queryTableFieldId="23"/>
    <tableColumn id="24" xr3:uid="{A64E4AE1-B4E5-4444-BE79-43E893EE8793}" uniqueName="24" name="STU023" queryTableFieldId="24"/>
    <tableColumn id="25" xr3:uid="{E3D84662-D24D-4F7D-B0AC-19A0A1DC5044}" uniqueName="25" name="STU024" queryTableFieldId="25"/>
    <tableColumn id="26" xr3:uid="{5EC5FB17-A554-4689-A5CE-B0064BE6D725}" uniqueName="26" name="STU025" queryTableFieldId="26"/>
    <tableColumn id="27" xr3:uid="{5CDA1538-CFC8-447F-A9B9-AFE14EAD85F5}" uniqueName="27" name="STU026" queryTableFieldId="27"/>
    <tableColumn id="28" xr3:uid="{6A48EF97-9D17-4277-8BAF-80AC54BF6CB6}" uniqueName="28" name="STU027" queryTableFieldId="28"/>
    <tableColumn id="29" xr3:uid="{7FD061AA-8C09-4A32-A809-93B85505DDE6}" uniqueName="29" name="STU028" queryTableFieldId="29"/>
    <tableColumn id="30" xr3:uid="{67E17692-E0DF-4BE6-9F51-A946555A7425}" uniqueName="30" name="STU029" queryTableFieldId="30"/>
    <tableColumn id="31" xr3:uid="{C77844BE-E0D4-4366-B751-581DD9EA6FAE}" uniqueName="31" name="STU030" queryTableFieldId="31"/>
    <tableColumn id="32" xr3:uid="{3F544C4C-53AF-469D-B106-7781DF67E679}" uniqueName="32" name="STU031" queryTableFieldId="32"/>
    <tableColumn id="33" xr3:uid="{A23DF83A-28A4-4554-A100-3D87A4CEA18D}" uniqueName="33" name="STU032" queryTableFieldId="33"/>
    <tableColumn id="34" xr3:uid="{7EC5179F-3177-436A-A8B9-4C426D49ACAB}" uniqueName="34" name="STU033" queryTableFieldId="34"/>
    <tableColumn id="35" xr3:uid="{AA246BE8-7162-48C3-BDAA-8E5F6DAB543A}" uniqueName="35" name="STU034" queryTableFieldId="35"/>
    <tableColumn id="36" xr3:uid="{E3F3297B-4709-4127-9C2B-5F72A6BB1C30}" uniqueName="36" name="STU035" queryTableFieldId="36"/>
    <tableColumn id="37" xr3:uid="{244D8189-C825-40BA-9C71-2E6E27DC561B}" uniqueName="37" name="STU036" queryTableFieldId="37"/>
    <tableColumn id="38" xr3:uid="{AEC1D4FE-CBD0-4D8D-B79E-D1AF25333EDE}" uniqueName="38" name="STU037" queryTableFieldId="38"/>
    <tableColumn id="39" xr3:uid="{88C861F7-F997-4A4F-B069-FD023B2214FC}" uniqueName="39" name="STU038" queryTableFieldId="39"/>
    <tableColumn id="40" xr3:uid="{7F686B50-984D-4D76-B70C-A41590306248}" uniqueName="40" name="STU039" queryTableFieldId="40"/>
    <tableColumn id="41" xr3:uid="{D2047506-9DBA-43AC-AEF4-10C9D442FA8C}" uniqueName="41" name="STU040" queryTableFieldId="41"/>
    <tableColumn id="42" xr3:uid="{48067262-D324-4F27-8505-119ECCBE0957}" uniqueName="42" name="STU041" queryTableFieldId="42"/>
    <tableColumn id="43" xr3:uid="{3D9756C3-2D73-4CBE-9FED-03C8DBD8D61D}" uniqueName="43" name="STU042" queryTableFieldId="43"/>
    <tableColumn id="44" xr3:uid="{084E15BC-CA02-4958-86DA-9084E3BD2A66}" uniqueName="44" name="STU043" queryTableFieldId="44"/>
    <tableColumn id="45" xr3:uid="{D7B399F0-2534-4D68-9A01-45A0DFE41FA0}" uniqueName="45" name="STU044" queryTableFieldId="45"/>
    <tableColumn id="46" xr3:uid="{FB1594AA-F25F-4BD8-86A6-B0DAF8471C90}" uniqueName="46" name="STU045" queryTableFieldId="46"/>
    <tableColumn id="47" xr3:uid="{A77FDD9D-30D2-4DD7-8776-1D2E7A488004}" uniqueName="47" name="STU046" queryTableFieldId="47"/>
    <tableColumn id="48" xr3:uid="{8A50AA81-289D-4BF9-8784-5B558FD09FE4}" uniqueName="48" name="STU047" queryTableFieldId="48"/>
    <tableColumn id="49" xr3:uid="{B00ABFD3-C03C-43B9-B3BF-4B944C8A03C6}" uniqueName="49" name="STU048" queryTableFieldId="49"/>
    <tableColumn id="50" xr3:uid="{EE8AC08F-C025-4065-BB02-F9B5D956A292}" uniqueName="50" name="STU049" queryTableFieldId="50"/>
    <tableColumn id="51" xr3:uid="{CAD85D14-FB7F-45B5-B406-12971E2AD3F5}" uniqueName="51" name="STU050" queryTableFieldId="51"/>
    <tableColumn id="52" xr3:uid="{4A2C86B2-F82B-4C20-B710-BFEB25ED6FE9}" uniqueName="52" name="STU051" queryTableFieldId="52"/>
    <tableColumn id="53" xr3:uid="{23A91770-E262-4F83-8A02-9AC687CDF3E9}" uniqueName="53" name="STU052" queryTableFieldId="53"/>
    <tableColumn id="54" xr3:uid="{7D2285F4-7EC0-473F-A5B2-8154F20A0BA7}" uniqueName="54" name="STU053" queryTableFieldId="54"/>
    <tableColumn id="55" xr3:uid="{39653642-96B2-47D5-8251-ADA4FB5194E4}" uniqueName="55" name="STU054" queryTableFieldId="55"/>
    <tableColumn id="56" xr3:uid="{69E4EAE1-22FE-41C1-B793-BE8AC3A6499B}" uniqueName="56" name="STU055" queryTableFieldId="56"/>
    <tableColumn id="57" xr3:uid="{F780F114-5B2C-4E9A-83B2-F7CB41AE8133}" uniqueName="57" name="STU056" queryTableFieldId="57"/>
    <tableColumn id="58" xr3:uid="{B5CF7E4E-5CED-4D3B-9370-C7E9E784F0C5}" uniqueName="58" name="STU057" queryTableFieldId="58"/>
    <tableColumn id="59" xr3:uid="{20498BFF-5F38-482A-8B81-B8916005194A}" uniqueName="59" name="STU058" queryTableFieldId="59"/>
    <tableColumn id="60" xr3:uid="{F0E7FB15-3535-4BD9-A2FA-B8E287137722}" uniqueName="60" name="STU059" queryTableFieldId="60"/>
    <tableColumn id="61" xr3:uid="{D18F790F-CFF4-43BF-8D93-F947B818ED2C}" uniqueName="61" name="STU060" queryTableFieldId="61"/>
    <tableColumn id="62" xr3:uid="{AD77E8AC-41C0-4F10-AB7B-738CD8A90CAA}" uniqueName="62" name="STU061" queryTableFieldId="62"/>
    <tableColumn id="63" xr3:uid="{B86E2693-2C06-4748-BCFB-8720BCA450CA}" uniqueName="63" name="STU062" queryTableFieldId="63"/>
    <tableColumn id="64" xr3:uid="{C75216CF-097F-47CC-9547-43AFA5E43A19}" uniqueName="64" name="STU063" queryTableFieldId="64"/>
    <tableColumn id="65" xr3:uid="{9A9DD65D-9BD3-41EE-8765-116DC52D21DE}" uniqueName="65" name="STU064" queryTableFieldId="65"/>
    <tableColumn id="66" xr3:uid="{4980EE42-9E62-476F-9C3C-ACA0C2D71FD2}" uniqueName="66" name="STU065" queryTableFieldId="66"/>
    <tableColumn id="67" xr3:uid="{8FFE5735-6304-425F-A180-8D6CBA586C01}" uniqueName="67" name="STU066" queryTableFieldId="67"/>
    <tableColumn id="68" xr3:uid="{0E5FF8F1-5D49-47AA-8156-E823989CC6F0}" uniqueName="68" name="STU067" queryTableFieldId="68"/>
    <tableColumn id="69" xr3:uid="{9CAB4563-C7F4-4B18-AC1E-379520F80A6B}" uniqueName="69" name="STU068" queryTableFieldId="69"/>
    <tableColumn id="70" xr3:uid="{95F26202-7538-4567-9565-F978B139B35E}" uniqueName="70" name="STU069" queryTableFieldId="70"/>
    <tableColumn id="71" xr3:uid="{C431E5C9-F5CE-41E7-B3EC-F0E73BFDFE24}" uniqueName="71" name="STU070" queryTableFieldId="71"/>
    <tableColumn id="72" xr3:uid="{1DFF5F71-BF40-4F42-81D5-A65A56F00D6A}" uniqueName="72" name="STU071" queryTableFieldId="72"/>
    <tableColumn id="73" xr3:uid="{8D9C29D7-C865-4D57-A6DF-2FAB88A52760}" uniqueName="73" name="STU072" queryTableFieldId="73"/>
    <tableColumn id="74" xr3:uid="{202703C7-AF71-409D-A189-C33E10633582}" uniqueName="74" name="STU073" queryTableFieldId="74"/>
    <tableColumn id="75" xr3:uid="{1BF30D9D-7C16-4DC7-9623-79150CD77867}" uniqueName="75" name="STU074" queryTableFieldId="75"/>
    <tableColumn id="76" xr3:uid="{7ECD8206-99EF-459A-B77E-E6C1F0A64E85}" uniqueName="76" name="STU075" queryTableFieldId="76"/>
    <tableColumn id="77" xr3:uid="{00CA8A52-B397-4BFC-AB37-DAEDB7CA9F1F}" uniqueName="77" name="STU076" queryTableFieldId="77"/>
    <tableColumn id="78" xr3:uid="{2DEF5C68-5731-4DF2-91F9-5821B135AF66}" uniqueName="78" name="STU077" queryTableFieldId="78"/>
    <tableColumn id="79" xr3:uid="{6311B728-4BAE-4488-AA84-3FEEBCD88260}" uniqueName="79" name="STU078" queryTableFieldId="79"/>
    <tableColumn id="80" xr3:uid="{3A7B6306-22E5-461F-87E9-0F491D1D6D2C}" uniqueName="80" name="STU079" queryTableFieldId="80"/>
    <tableColumn id="81" xr3:uid="{259EB4B7-04DB-4087-BE16-C753F8235C22}" uniqueName="81" name="STU080" queryTableFieldId="81"/>
    <tableColumn id="82" xr3:uid="{C962CB29-8EC4-4904-B0D1-A702E9A2DAE6}" uniqueName="82" name="STU081" queryTableFieldId="82"/>
    <tableColumn id="83" xr3:uid="{90F95C1A-1B7B-437E-8A99-5CCB2B858674}" uniqueName="83" name="STU082" queryTableFieldId="83"/>
    <tableColumn id="84" xr3:uid="{FC192A15-08C3-41DD-8D8D-588D8CB7A90B}" uniqueName="84" name="STU083" queryTableFieldId="84"/>
    <tableColumn id="85" xr3:uid="{FA5D05BF-762E-4C24-A8DC-A61CF888C36F}" uniqueName="85" name="STU084" queryTableFieldId="85"/>
    <tableColumn id="86" xr3:uid="{018A98AC-5F73-49DF-A3D8-D84745713387}" uniqueName="86" name="STU085" queryTableFieldId="86"/>
    <tableColumn id="87" xr3:uid="{D6C6E86F-825F-44D0-95D7-4A0285786AAA}" uniqueName="87" name="STU086" queryTableFieldId="87"/>
    <tableColumn id="88" xr3:uid="{5021516C-5BCC-4579-81BB-7CDE3C370ABB}" uniqueName="88" name="STU087" queryTableFieldId="88"/>
    <tableColumn id="89" xr3:uid="{947119BA-738E-4190-AAA6-5009DF46E3FD}" uniqueName="89" name="STU088" queryTableFieldId="89"/>
    <tableColumn id="90" xr3:uid="{6F8A1403-B8AA-4763-9902-FAE793A9E185}" uniqueName="90" name="STU089" queryTableFieldId="90"/>
    <tableColumn id="91" xr3:uid="{12B936AC-BC8D-40C2-8602-CE01B12A6B01}" uniqueName="91" name="STU090" queryTableFieldId="91"/>
    <tableColumn id="92" xr3:uid="{1FFE33EA-5887-4E65-BCF9-B225804AA284}" uniqueName="92" name="STU091" queryTableFieldId="92"/>
    <tableColumn id="93" xr3:uid="{D9422F32-0A1D-4512-9687-502C344D147E}" uniqueName="93" name="STU092" queryTableFieldId="93"/>
    <tableColumn id="94" xr3:uid="{BDAE54E1-4D85-49EA-9CEE-2D308D64050E}" uniqueName="94" name="STU093" queryTableFieldId="94"/>
    <tableColumn id="95" xr3:uid="{54A8CD96-6A82-46EB-B13C-C74A78C979D7}" uniqueName="95" name="STU094" queryTableFieldId="95"/>
    <tableColumn id="96" xr3:uid="{A74C6002-4F8A-4520-B2DC-830426F18FCF}" uniqueName="96" name="STU095" queryTableFieldId="96"/>
    <tableColumn id="97" xr3:uid="{37122C81-E2A5-4728-9CEC-E823FBFA140B}" uniqueName="97" name="STU096" queryTableFieldId="97"/>
    <tableColumn id="98" xr3:uid="{B2066357-AE2E-41CF-8730-D2AE49A67547}" uniqueName="98" name="STU097" queryTableFieldId="98"/>
    <tableColumn id="99" xr3:uid="{DFFD59A5-9657-4308-B3CA-48868ABCB696}" uniqueName="99" name="STU098" queryTableFieldId="99"/>
    <tableColumn id="100" xr3:uid="{B7A1AD95-BFD8-46C0-8E8D-B972A6448942}" uniqueName="100" name="STU099" queryTableFieldId="100"/>
    <tableColumn id="101" xr3:uid="{1DBC7562-928D-40A4-A168-F64ABCB42D59}" uniqueName="101" name="STU100" queryTableFieldId="101"/>
    <tableColumn id="102" xr3:uid="{3380DDD5-4810-40C5-BE81-8CDF3E84BB72}" uniqueName="102" name="STU101" queryTableFieldId="102"/>
    <tableColumn id="103" xr3:uid="{D3BD326C-F2E8-4071-A415-70BAC1828B55}" uniqueName="103" name="STU102" queryTableFieldId="103"/>
    <tableColumn id="104" xr3:uid="{E5A78D59-D0C7-461F-972C-5E996605C5AC}" uniqueName="104" name="STU103" queryTableFieldId="104"/>
    <tableColumn id="105" xr3:uid="{2E384C43-6E5A-4D4F-A0A9-3EA0DB5E95E8}" uniqueName="105" name="STU104" queryTableFieldId="105"/>
    <tableColumn id="106" xr3:uid="{7485F785-D1E2-466E-8135-4825040BDEA7}" uniqueName="106" name="STU105" queryTableFieldId="106"/>
    <tableColumn id="107" xr3:uid="{7EBC0B41-555E-46BC-B2EE-13BA19C740BB}" uniqueName="107" name="STU106" queryTableFieldId="107"/>
    <tableColumn id="108" xr3:uid="{8461FE75-27D5-4623-9CBD-1E256FA97F2A}" uniqueName="108" name="STU107" queryTableFieldId="108"/>
    <tableColumn id="109" xr3:uid="{443A9A80-730C-42D5-866D-35CF91017B64}" uniqueName="109" name="STU108" queryTableFieldId="109"/>
    <tableColumn id="110" xr3:uid="{72BFC973-3DD1-4C57-BD58-5182A31E1F3B}" uniqueName="110" name="STU109" queryTableFieldId="110"/>
    <tableColumn id="111" xr3:uid="{78890544-0158-4326-8CA2-DE8E7EC5DD04}" uniqueName="111" name="STU110" queryTableFieldId="111"/>
    <tableColumn id="112" xr3:uid="{6F0FE10B-D25F-4FC0-B959-DE8408910ADE}" uniqueName="112" name="STU111" queryTableFieldId="112"/>
    <tableColumn id="113" xr3:uid="{426EDE35-44F9-4A1B-BF35-48C50FD81B82}" uniqueName="113" name="STU112" queryTableFieldId="113"/>
    <tableColumn id="114" xr3:uid="{06A5DCF4-5D38-451A-99FD-9258A132B79D}" uniqueName="114" name="STU113" queryTableFieldId="114"/>
    <tableColumn id="115" xr3:uid="{70D8E5B4-C4AA-44C0-90FC-E2A5D97F6B7D}" uniqueName="115" name="STU114" queryTableFieldId="115"/>
    <tableColumn id="116" xr3:uid="{A687DF53-B712-4F66-9C41-3AD862EF5179}" uniqueName="116" name="STU115" queryTableFieldId="116"/>
    <tableColumn id="117" xr3:uid="{4A3BFB77-5CDE-4C93-B1E0-FF17A4B00627}" uniqueName="117" name="STU116" queryTableFieldId="117"/>
    <tableColumn id="118" xr3:uid="{3273F8E4-F7A7-4616-A4A0-F39197302B80}" uniqueName="118" name="STU117" queryTableFieldId="118"/>
    <tableColumn id="119" xr3:uid="{EB0B56B9-8B0D-402B-9297-D17D45C9890D}" uniqueName="119" name="STU118" queryTableFieldId="119"/>
    <tableColumn id="120" xr3:uid="{8EFF095C-9B16-4D2A-ABC6-C64B002431E6}" uniqueName="120" name="STU119" queryTableFieldId="120"/>
    <tableColumn id="121" xr3:uid="{58169BC6-76EE-4DA6-B5D4-FEEA26D2A071}" uniqueName="121" name="STU120" queryTableFieldId="121"/>
    <tableColumn id="122" xr3:uid="{0F276599-7CB1-4844-A36F-7C7CAFA46BD3}" uniqueName="122" name="STU121" queryTableFieldId="122"/>
    <tableColumn id="123" xr3:uid="{3E66760C-EB70-4B02-914A-9DC8469206FB}" uniqueName="123" name="STU122" queryTableFieldId="123"/>
    <tableColumn id="124" xr3:uid="{31DB3AFE-6D7E-47FB-9AE0-1A19A7BE612C}" uniqueName="124" name="STU123" queryTableFieldId="124"/>
    <tableColumn id="125" xr3:uid="{17593022-4277-4CF9-8334-85392CB3B98B}" uniqueName="125" name="STU124" queryTableFieldId="125"/>
    <tableColumn id="126" xr3:uid="{390184FC-0935-48AE-B993-B25DD11A9BFC}" uniqueName="126" name="STU125" queryTableFieldId="126"/>
    <tableColumn id="127" xr3:uid="{0FAC5EB0-50D3-483B-9E68-D15F8BED9662}" uniqueName="127" name="STU126" queryTableFieldId="127"/>
    <tableColumn id="128" xr3:uid="{3E1EAD6D-98D7-434F-90C5-A7113759C207}" uniqueName="128" name="STU127" queryTableFieldId="128"/>
    <tableColumn id="129" xr3:uid="{82D1F01C-AAFD-460B-95FE-704A9D3AF36F}" uniqueName="129" name="STU128" queryTableFieldId="129"/>
    <tableColumn id="130" xr3:uid="{B1BA4D5F-6F58-4EC2-BD15-3B66B6C9B5A0}" uniqueName="130" name="STU129" queryTableFieldId="130"/>
    <tableColumn id="131" xr3:uid="{CA06B2CA-9F24-448A-89E9-2DB94494F1FF}" uniqueName="131" name="STU130" queryTableFieldId="131"/>
    <tableColumn id="132" xr3:uid="{A50D2BE5-3BA2-4EB3-8977-A8A50A005572}" uniqueName="132" name="STU131" queryTableFieldId="132"/>
    <tableColumn id="133" xr3:uid="{60EC2293-14D1-49DE-87FD-D5A3A0F0291B}" uniqueName="133" name="STU132" queryTableFieldId="133"/>
    <tableColumn id="134" xr3:uid="{D0C7278C-BCCA-47A8-9033-DD239CA6956D}" uniqueName="134" name="STU133" queryTableFieldId="134"/>
    <tableColumn id="135" xr3:uid="{F8D142CC-00FD-4AA8-8081-AA52B53778D2}" uniqueName="135" name="STU134" queryTableFieldId="135"/>
    <tableColumn id="136" xr3:uid="{25CA1575-75F7-4359-8DEC-B31B7CAF94C1}" uniqueName="136" name="STU135" queryTableFieldId="136"/>
    <tableColumn id="137" xr3:uid="{70E2E8FE-897D-4236-A03D-4278E664CD0E}" uniqueName="137" name="STU136" queryTableFieldId="137"/>
    <tableColumn id="138" xr3:uid="{999FAB73-3930-42A1-8F72-FE5A4B695571}" uniqueName="138" name="STU137" queryTableFieldId="138"/>
    <tableColumn id="139" xr3:uid="{5B5D5B75-7CB8-4936-A067-A94DB93E18DC}" uniqueName="139" name="STU138" queryTableFieldId="139"/>
    <tableColumn id="140" xr3:uid="{61430B09-C532-487A-AFBE-1CB70504B788}" uniqueName="140" name="STU139" queryTableFieldId="140"/>
    <tableColumn id="141" xr3:uid="{FFA9D4DE-C222-40CE-A64E-45DDF325BE21}" uniqueName="141" name="STU140" queryTableFieldId="141"/>
    <tableColumn id="142" xr3:uid="{9068537A-2442-47A0-8BA5-E4297E843F22}" uniqueName="142" name="STU141" queryTableFieldId="142"/>
    <tableColumn id="143" xr3:uid="{38363AC2-AB06-4F7B-8946-26DFC097F305}" uniqueName="143" name="STU142" queryTableFieldId="143"/>
    <tableColumn id="144" xr3:uid="{2F9B0646-58E2-4D03-9325-C781AAB19E08}" uniqueName="144" name="STU143" queryTableFieldId="144"/>
    <tableColumn id="145" xr3:uid="{68C6AA7A-3F34-4D47-8395-BFAB5DD461C2}" uniqueName="145" name="STU144" queryTableFieldId="145"/>
    <tableColumn id="146" xr3:uid="{26AD6AFB-E004-4D56-84A6-6A4E2B694F31}" uniqueName="146" name="STU145" queryTableFieldId="146"/>
    <tableColumn id="147" xr3:uid="{26AF45A8-B108-4DA2-B838-53D723CC117F}" uniqueName="147" name="STU146" queryTableFieldId="147"/>
    <tableColumn id="148" xr3:uid="{4B773D96-2052-477D-A380-CE177ED5C148}" uniqueName="148" name="STU147" queryTableFieldId="148"/>
    <tableColumn id="149" xr3:uid="{C1071C24-1278-401A-8E28-41907F2E68D4}" uniqueName="149" name="STU148" queryTableFieldId="149"/>
    <tableColumn id="150" xr3:uid="{E1C64367-ED3B-4210-888E-6383BB3D97DB}" uniqueName="150" name="STU149" queryTableFieldId="150"/>
    <tableColumn id="151" xr3:uid="{EC5685A6-3A03-4A78-A651-43DFA6DE28B3}" uniqueName="151" name="STU150" queryTableFieldId="15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D3805-BBDE-439D-A29B-AE50EDA5D0E2}" name="Table1" displayName="Table1" ref="O25:T27" totalsRowShown="0" headerRowDxfId="15" dataDxfId="14">
  <autoFilter ref="O25:T27" xr:uid="{063E7AB5-63C1-4214-8062-EF42F0C9200B}"/>
  <tableColumns count="6">
    <tableColumn id="1" xr3:uid="{39152ADE-8B1B-4470-93CE-6C3CE41F84EE}" name="Column1" dataDxfId="13"/>
    <tableColumn id="2" xr3:uid="{70AEC745-0AE7-4AC7-8B37-B2AFAD5654EB}" name="Column2" dataDxfId="12"/>
    <tableColumn id="3" xr3:uid="{1170B56B-EE59-4664-B562-52A9D29BA951}" name="column 3" dataDxfId="11">
      <calculatedColumnFormula>VLOOKUP(Table1[[#This Row],[Column1]],A3:F39,3,TRUE)</calculatedColumnFormula>
    </tableColumn>
    <tableColumn id="4" xr3:uid="{A9C1EA88-58CF-4E97-969F-A1CBB08C2062}" name="column4" dataDxfId="10"/>
    <tableColumn id="5" xr3:uid="{2D4D2EC0-FA79-4AAB-B45D-B54DC5980A07}" name="column5" dataDxfId="9"/>
    <tableColumn id="6" xr3:uid="{EF48FDAE-A9B4-4D48-9C8C-EA9582086107}" name="column6"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4.xml"/><Relationship Id="rId1" Type="http://schemas.openxmlformats.org/officeDocument/2006/relationships/pivotTable" Target="../pivotTables/pivotTable4.xml"/><Relationship Id="rId4"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DFAE-D9AA-4060-B6D5-8F1D2F3D1FD8}">
  <sheetPr codeName="Sheet25"/>
  <dimension ref="A1:T41"/>
  <sheetViews>
    <sheetView workbookViewId="0">
      <selection activeCell="A23" sqref="A23:E32"/>
    </sheetView>
  </sheetViews>
  <sheetFormatPr defaultColWidth="9.140625" defaultRowHeight="16.5" x14ac:dyDescent="0.25"/>
  <cols>
    <col min="1" max="1" width="28.5703125" style="1" customWidth="1"/>
    <col min="2" max="2" width="9.140625" style="1"/>
    <col min="3" max="3" width="10" style="1" customWidth="1"/>
    <col min="4" max="4" width="11.85546875" style="1" customWidth="1"/>
    <col min="5" max="5" width="12.140625" style="1" customWidth="1"/>
    <col min="6" max="7" width="9.140625" style="1"/>
    <col min="8" max="9" width="11.28515625" style="1" customWidth="1"/>
    <col min="10" max="11" width="9.140625" style="1"/>
    <col min="12" max="13" width="11.140625" style="1" customWidth="1"/>
    <col min="14" max="15" width="9.140625" style="1"/>
    <col min="16" max="16" width="11.42578125" style="1" customWidth="1"/>
    <col min="17" max="17" width="2.42578125" style="1" customWidth="1"/>
    <col min="18" max="16384" width="9.140625" style="1"/>
  </cols>
  <sheetData>
    <row r="1" spans="1:20" x14ac:dyDescent="0.25">
      <c r="A1" s="56" t="s">
        <v>550</v>
      </c>
      <c r="B1" s="56"/>
      <c r="C1" s="56"/>
      <c r="D1" s="56"/>
      <c r="E1" s="56"/>
      <c r="F1" s="56"/>
      <c r="G1" s="56"/>
      <c r="H1" s="56"/>
      <c r="I1" s="56"/>
      <c r="J1" s="56"/>
      <c r="K1" s="56"/>
      <c r="L1" s="56"/>
      <c r="M1" s="56"/>
      <c r="N1" s="56"/>
      <c r="O1" s="56"/>
      <c r="P1" s="56"/>
      <c r="Q1" s="42"/>
    </row>
    <row r="2" spans="1:20" x14ac:dyDescent="0.25">
      <c r="A2" s="55" t="s">
        <v>56</v>
      </c>
      <c r="B2" s="58" t="s">
        <v>55</v>
      </c>
      <c r="C2" s="59"/>
      <c r="D2" s="59"/>
      <c r="E2" s="60"/>
      <c r="F2" s="58" t="s">
        <v>216</v>
      </c>
      <c r="G2" s="59"/>
      <c r="H2" s="59"/>
      <c r="I2" s="60"/>
      <c r="J2" s="58" t="s">
        <v>515</v>
      </c>
      <c r="K2" s="59"/>
      <c r="L2" s="59"/>
      <c r="M2" s="60"/>
      <c r="N2" s="56" t="s">
        <v>521</v>
      </c>
      <c r="O2" s="56"/>
      <c r="P2" s="56"/>
      <c r="Q2" s="42"/>
    </row>
    <row r="3" spans="1:20" ht="49.5" x14ac:dyDescent="0.25">
      <c r="A3" s="55"/>
      <c r="B3" s="46" t="s">
        <v>16</v>
      </c>
      <c r="C3" s="46" t="s">
        <v>54</v>
      </c>
      <c r="D3" s="46" t="s">
        <v>52</v>
      </c>
      <c r="E3" s="46" t="s">
        <v>51</v>
      </c>
      <c r="F3" s="46" t="s">
        <v>16</v>
      </c>
      <c r="G3" s="46" t="s">
        <v>54</v>
      </c>
      <c r="H3" s="46" t="s">
        <v>52</v>
      </c>
      <c r="I3" s="46" t="s">
        <v>51</v>
      </c>
      <c r="J3" s="46" t="s">
        <v>16</v>
      </c>
      <c r="K3" s="46" t="s">
        <v>54</v>
      </c>
      <c r="L3" s="46" t="s">
        <v>52</v>
      </c>
      <c r="M3" s="46" t="s">
        <v>51</v>
      </c>
      <c r="N3" s="46" t="s">
        <v>16</v>
      </c>
      <c r="O3" s="46" t="s">
        <v>54</v>
      </c>
      <c r="P3" s="46" t="s">
        <v>52</v>
      </c>
      <c r="Q3" s="45"/>
    </row>
    <row r="4" spans="1:20" x14ac:dyDescent="0.25">
      <c r="A4" s="44" t="s">
        <v>549</v>
      </c>
      <c r="B4" s="43">
        <v>94.966442953020135</v>
      </c>
      <c r="C4" s="43">
        <v>82.539682539682531</v>
      </c>
      <c r="D4" s="43">
        <v>87.872340425531917</v>
      </c>
      <c r="E4" s="43" t="s">
        <v>542</v>
      </c>
      <c r="F4" s="43">
        <v>94.669421487603316</v>
      </c>
      <c r="G4" s="43">
        <v>83.762886597938149</v>
      </c>
      <c r="H4" s="43">
        <v>87.863070539419084</v>
      </c>
      <c r="I4" s="43">
        <v>98.96</v>
      </c>
      <c r="J4" s="43">
        <v>95.050558807876527</v>
      </c>
      <c r="K4" s="43">
        <v>86.015037593984971</v>
      </c>
      <c r="L4" s="43">
        <v>86.754297269969669</v>
      </c>
      <c r="M4" s="43">
        <v>98.95</v>
      </c>
      <c r="N4" s="43">
        <v>96.183953033268097</v>
      </c>
      <c r="O4" s="43">
        <v>82.018479033404404</v>
      </c>
      <c r="P4" s="43">
        <v>85.054773082942091</v>
      </c>
      <c r="Q4" s="53" t="s">
        <v>49</v>
      </c>
      <c r="R4" s="54"/>
      <c r="S4" s="54"/>
      <c r="T4" s="54"/>
    </row>
    <row r="5" spans="1:20" x14ac:dyDescent="0.25">
      <c r="A5" s="44" t="s">
        <v>48</v>
      </c>
      <c r="B5" s="43">
        <v>94.715485514768332</v>
      </c>
      <c r="C5" s="43">
        <v>93.149172758235395</v>
      </c>
      <c r="D5" s="43">
        <v>94.200688560154688</v>
      </c>
      <c r="E5" s="43">
        <v>71.38</v>
      </c>
      <c r="F5" s="43">
        <v>94.458705241932705</v>
      </c>
      <c r="G5" s="43">
        <v>92.744756356605905</v>
      </c>
      <c r="H5" s="43">
        <v>94.457639348205163</v>
      </c>
      <c r="I5" s="43">
        <v>98.7</v>
      </c>
      <c r="J5" s="43">
        <v>94.39909625068023</v>
      </c>
      <c r="K5" s="43">
        <v>92.646251029936835</v>
      </c>
      <c r="L5" s="43">
        <v>94.213170516488049</v>
      </c>
      <c r="M5" s="43">
        <v>80.89</v>
      </c>
      <c r="N5" s="43">
        <v>84.103221811909862</v>
      </c>
      <c r="O5" s="43">
        <v>74.216818406585418</v>
      </c>
      <c r="P5" s="43">
        <v>75.176596257882224</v>
      </c>
      <c r="Q5" s="42"/>
    </row>
    <row r="6" spans="1:20" x14ac:dyDescent="0.25">
      <c r="A6" s="44" t="s">
        <v>47</v>
      </c>
      <c r="B6" s="43">
        <v>27.40764382031437</v>
      </c>
      <c r="C6" s="43">
        <v>42.33147804576376</v>
      </c>
      <c r="D6" s="43">
        <v>70.578443612151474</v>
      </c>
      <c r="E6" s="43">
        <v>36.840000000000003</v>
      </c>
      <c r="F6" s="43">
        <v>27.745391523554435</v>
      </c>
      <c r="G6" s="43">
        <v>42.283488163020678</v>
      </c>
      <c r="H6" s="43">
        <v>69.99597261377366</v>
      </c>
      <c r="I6" s="43">
        <v>73.52</v>
      </c>
      <c r="J6" s="43">
        <v>26.216554529807539</v>
      </c>
      <c r="K6" s="43">
        <v>40.963196059652482</v>
      </c>
      <c r="L6" s="43">
        <v>70.3125</v>
      </c>
      <c r="M6" s="43">
        <v>79.680000000000007</v>
      </c>
      <c r="N6" s="43">
        <v>56.493052084374682</v>
      </c>
      <c r="O6" s="43">
        <v>64.322005193632165</v>
      </c>
      <c r="P6" s="43">
        <v>79.036496350364956</v>
      </c>
      <c r="Q6" s="42"/>
    </row>
    <row r="7" spans="1:20" x14ac:dyDescent="0.25">
      <c r="A7" s="44" t="s">
        <v>46</v>
      </c>
      <c r="B7" s="43">
        <v>20.593130276112369</v>
      </c>
      <c r="C7" s="43">
        <v>11.367461243243724</v>
      </c>
      <c r="D7" s="43">
        <v>14.337325686009898</v>
      </c>
      <c r="E7" s="43">
        <v>11.22</v>
      </c>
      <c r="F7" s="43">
        <v>22.86106997961501</v>
      </c>
      <c r="G7" s="43">
        <v>11.530514584209161</v>
      </c>
      <c r="H7" s="43">
        <v>15.0885990365383</v>
      </c>
      <c r="I7" s="43">
        <v>24.11</v>
      </c>
      <c r="J7" s="43">
        <v>24.916103643044085</v>
      </c>
      <c r="K7" s="43">
        <v>11.796770221410029</v>
      </c>
      <c r="L7" s="43">
        <v>17.285154945010891</v>
      </c>
      <c r="M7" s="43">
        <v>27.79</v>
      </c>
      <c r="N7" s="43">
        <v>38.473785894539439</v>
      </c>
      <c r="O7" s="43">
        <v>26.163743804803659</v>
      </c>
      <c r="P7" s="43">
        <v>29.294606698236521</v>
      </c>
      <c r="Q7" s="42"/>
    </row>
    <row r="8" spans="1:20" x14ac:dyDescent="0.25">
      <c r="A8" s="44" t="s">
        <v>45</v>
      </c>
      <c r="B8" s="43">
        <v>27.196960607878424</v>
      </c>
      <c r="C8" s="43">
        <v>44.991137169348235</v>
      </c>
      <c r="D8" s="43">
        <v>65.339061774268458</v>
      </c>
      <c r="E8" s="43">
        <v>11.47</v>
      </c>
      <c r="F8" s="43">
        <v>25.513203303734151</v>
      </c>
      <c r="G8" s="43">
        <v>43.997266556715665</v>
      </c>
      <c r="H8" s="43">
        <v>69.018114331007013</v>
      </c>
      <c r="I8" s="43">
        <v>35.35</v>
      </c>
      <c r="J8" s="43">
        <v>21.438635125855416</v>
      </c>
      <c r="K8" s="43">
        <v>29.304973833079618</v>
      </c>
      <c r="L8" s="43">
        <v>67.184149432009505</v>
      </c>
      <c r="M8" s="43">
        <v>66.17</v>
      </c>
      <c r="N8" s="43">
        <v>58.129327222187342</v>
      </c>
      <c r="O8" s="43">
        <v>56.22373856332927</v>
      </c>
      <c r="P8" s="43">
        <v>78.442194524653672</v>
      </c>
      <c r="Q8" s="42"/>
    </row>
    <row r="9" spans="1:20" x14ac:dyDescent="0.25">
      <c r="A9" s="44" t="s">
        <v>44</v>
      </c>
      <c r="B9" s="43">
        <v>94.029850746268664</v>
      </c>
      <c r="C9" s="43">
        <v>91.444092349479405</v>
      </c>
      <c r="D9" s="43">
        <v>89.996804090763831</v>
      </c>
      <c r="E9" s="43" t="s">
        <v>542</v>
      </c>
      <c r="F9" s="43">
        <v>92.305215711526074</v>
      </c>
      <c r="G9" s="43">
        <v>89.583333333333343</v>
      </c>
      <c r="H9" s="43">
        <v>90.308106491175593</v>
      </c>
      <c r="I9" s="43">
        <v>98.92</v>
      </c>
      <c r="J9" s="43">
        <v>90.541051835035944</v>
      </c>
      <c r="K9" s="43">
        <v>84.843280377844565</v>
      </c>
      <c r="L9" s="43">
        <v>89.524933608734131</v>
      </c>
      <c r="M9" s="43">
        <v>99.06</v>
      </c>
      <c r="N9" s="43">
        <v>89.41761363636364</v>
      </c>
      <c r="O9" s="43">
        <v>85.796344647519589</v>
      </c>
      <c r="P9" s="43">
        <v>89.493136219640974</v>
      </c>
      <c r="Q9" s="42"/>
    </row>
    <row r="10" spans="1:20" x14ac:dyDescent="0.25">
      <c r="A10" s="44" t="s">
        <v>41</v>
      </c>
      <c r="B10" s="43">
        <v>67.625188752397662</v>
      </c>
      <c r="C10" s="43">
        <v>72.171053529275326</v>
      </c>
      <c r="D10" s="43">
        <v>68.625997911543763</v>
      </c>
      <c r="E10" s="43">
        <v>46.39</v>
      </c>
      <c r="F10" s="43">
        <v>70.089642963956905</v>
      </c>
      <c r="G10" s="43">
        <v>73.228644404502887</v>
      </c>
      <c r="H10" s="43">
        <v>69.854918391595277</v>
      </c>
      <c r="I10" s="43">
        <v>63.02</v>
      </c>
      <c r="J10" s="43">
        <v>70.265400535670807</v>
      </c>
      <c r="K10" s="43">
        <v>74.734180415955493</v>
      </c>
      <c r="L10" s="43">
        <v>65.311175301046632</v>
      </c>
      <c r="M10" s="43">
        <v>62.07</v>
      </c>
      <c r="N10" s="43">
        <v>76.224301507209461</v>
      </c>
      <c r="O10" s="43">
        <v>76.210528994173174</v>
      </c>
      <c r="P10" s="43">
        <v>78.029845280600568</v>
      </c>
      <c r="Q10" s="42"/>
    </row>
    <row r="11" spans="1:20" x14ac:dyDescent="0.25">
      <c r="A11" s="44" t="s">
        <v>548</v>
      </c>
      <c r="B11" s="43">
        <v>87.752053771471253</v>
      </c>
      <c r="C11" s="43">
        <v>90.760233918128648</v>
      </c>
      <c r="D11" s="43">
        <v>87.323943661971825</v>
      </c>
      <c r="E11" s="43">
        <v>100</v>
      </c>
      <c r="F11" s="43">
        <v>85.172171468728038</v>
      </c>
      <c r="G11" s="43">
        <v>90.347923681257015</v>
      </c>
      <c r="H11" s="43">
        <v>88.501026694045166</v>
      </c>
      <c r="I11" s="43">
        <v>88.48</v>
      </c>
      <c r="J11" s="43">
        <v>83.469945355191257</v>
      </c>
      <c r="K11" s="43">
        <v>90.092165898617509</v>
      </c>
      <c r="L11" s="43">
        <v>91.146881287726359</v>
      </c>
      <c r="M11" s="43">
        <v>89.93</v>
      </c>
      <c r="N11" s="43">
        <v>83.927370544720915</v>
      </c>
      <c r="O11" s="43">
        <v>90.476190476190482</v>
      </c>
      <c r="P11" s="43">
        <v>89.344262295081961</v>
      </c>
      <c r="Q11" s="42"/>
    </row>
    <row r="12" spans="1:20" x14ac:dyDescent="0.25">
      <c r="A12" s="44" t="s">
        <v>547</v>
      </c>
      <c r="B12" s="43">
        <v>81.007751937984494</v>
      </c>
      <c r="C12" s="43">
        <v>81.489361702127667</v>
      </c>
      <c r="D12" s="43">
        <v>90.760869565217391</v>
      </c>
      <c r="E12" s="43">
        <v>100</v>
      </c>
      <c r="F12" s="43">
        <v>82.142857142857139</v>
      </c>
      <c r="G12" s="43">
        <v>79.006772009029348</v>
      </c>
      <c r="H12" s="43">
        <v>87.121212121212125</v>
      </c>
      <c r="I12" s="43">
        <v>91.07</v>
      </c>
      <c r="J12" s="43">
        <v>80.225988700564983</v>
      </c>
      <c r="K12" s="43">
        <v>78.13211845102505</v>
      </c>
      <c r="L12" s="43">
        <v>87.526427061310784</v>
      </c>
      <c r="M12" s="43">
        <v>91.12</v>
      </c>
      <c r="N12" s="43">
        <v>79.886148007590123</v>
      </c>
      <c r="O12" s="43">
        <v>74.473067915690876</v>
      </c>
      <c r="P12" s="43">
        <v>83.840749414519905</v>
      </c>
      <c r="Q12" s="42"/>
    </row>
    <row r="13" spans="1:20" x14ac:dyDescent="0.25">
      <c r="A13" s="44" t="s">
        <v>36</v>
      </c>
      <c r="B13" s="43">
        <v>92.127297176154187</v>
      </c>
      <c r="C13" s="43">
        <v>90.524935847372532</v>
      </c>
      <c r="D13" s="43">
        <v>92.110846503572191</v>
      </c>
      <c r="E13" s="43">
        <v>100</v>
      </c>
      <c r="F13" s="43">
        <v>92.087787208352566</v>
      </c>
      <c r="G13" s="43">
        <v>89.938575280024452</v>
      </c>
      <c r="H13" s="43">
        <v>91.487752615436321</v>
      </c>
      <c r="I13" s="43">
        <v>100</v>
      </c>
      <c r="J13" s="43">
        <v>91.406949304255832</v>
      </c>
      <c r="K13" s="43">
        <v>89.20528211284514</v>
      </c>
      <c r="L13" s="43">
        <v>91.582021330624684</v>
      </c>
      <c r="M13" s="43">
        <v>100</v>
      </c>
      <c r="N13" s="43">
        <v>90.186688750067518</v>
      </c>
      <c r="O13" s="43">
        <v>87.227019461828931</v>
      </c>
      <c r="P13" s="43">
        <v>89.329375463812838</v>
      </c>
      <c r="Q13" s="42"/>
    </row>
    <row r="14" spans="1:20" x14ac:dyDescent="0.25">
      <c r="A14" s="44" t="s">
        <v>35</v>
      </c>
      <c r="B14" s="43">
        <v>85.515566350187683</v>
      </c>
      <c r="C14" s="43">
        <v>88.950276243093924</v>
      </c>
      <c r="D14" s="43">
        <v>89.345991561181435</v>
      </c>
      <c r="E14" s="43">
        <v>96.65</v>
      </c>
      <c r="F14" s="43">
        <v>85.517708098353268</v>
      </c>
      <c r="G14" s="43">
        <v>89.356605065023956</v>
      </c>
      <c r="H14" s="43">
        <v>88.935833113282285</v>
      </c>
      <c r="I14" s="43">
        <v>95.41</v>
      </c>
      <c r="J14" s="43">
        <v>80.030388539179512</v>
      </c>
      <c r="K14" s="43">
        <v>88.179986568166555</v>
      </c>
      <c r="L14" s="43">
        <v>87.302818722523924</v>
      </c>
      <c r="M14" s="43">
        <v>93.88</v>
      </c>
      <c r="N14" s="43">
        <v>82.248792825937002</v>
      </c>
      <c r="O14" s="43">
        <v>88.693693693693703</v>
      </c>
      <c r="P14" s="43">
        <v>85.699351871210538</v>
      </c>
      <c r="Q14" s="42"/>
    </row>
    <row r="15" spans="1:20" x14ac:dyDescent="0.25">
      <c r="A15" s="44" t="s">
        <v>34</v>
      </c>
      <c r="B15" s="43">
        <v>89.964719924792178</v>
      </c>
      <c r="C15" s="43">
        <v>92.441109965605975</v>
      </c>
      <c r="D15" s="43">
        <v>91.737267215672333</v>
      </c>
      <c r="E15" s="43">
        <v>99.05</v>
      </c>
      <c r="F15" s="43">
        <v>90.178131493819492</v>
      </c>
      <c r="G15" s="43">
        <v>92.812729212509169</v>
      </c>
      <c r="H15" s="43">
        <v>91.762187408776882</v>
      </c>
      <c r="I15" s="43">
        <v>99.91</v>
      </c>
      <c r="J15" s="43">
        <v>89.071835634464975</v>
      </c>
      <c r="K15" s="43">
        <v>92.50940200841211</v>
      </c>
      <c r="L15" s="43">
        <v>91.900208814155405</v>
      </c>
      <c r="M15" s="43">
        <v>99.98</v>
      </c>
      <c r="N15" s="43">
        <v>89.687397708674297</v>
      </c>
      <c r="O15" s="43">
        <v>92.880123094139037</v>
      </c>
      <c r="P15" s="43">
        <v>91.795589652226084</v>
      </c>
      <c r="Q15" s="42"/>
    </row>
    <row r="16" spans="1:20" x14ac:dyDescent="0.25">
      <c r="A16" s="44" t="s">
        <v>33</v>
      </c>
      <c r="B16" s="43">
        <v>90.042453187779543</v>
      </c>
      <c r="C16" s="43">
        <v>88.380738095820391</v>
      </c>
      <c r="D16" s="43">
        <v>90.995856886458554</v>
      </c>
      <c r="E16" s="43">
        <v>100</v>
      </c>
      <c r="F16" s="43">
        <v>89.868949175492048</v>
      </c>
      <c r="G16" s="43">
        <v>87.722827366303576</v>
      </c>
      <c r="H16" s="43">
        <v>90.93929816030473</v>
      </c>
      <c r="I16" s="43">
        <v>95.86</v>
      </c>
      <c r="J16" s="43">
        <v>90.158555408045416</v>
      </c>
      <c r="K16" s="43">
        <v>86.812409221258065</v>
      </c>
      <c r="L16" s="43">
        <v>90.19699885775087</v>
      </c>
      <c r="M16" s="43">
        <v>96.18</v>
      </c>
      <c r="N16" s="43">
        <v>88.823682430674779</v>
      </c>
      <c r="O16" s="43">
        <v>86.171151682962716</v>
      </c>
      <c r="P16" s="43">
        <v>89.09837023190606</v>
      </c>
      <c r="Q16" s="42"/>
    </row>
    <row r="17" spans="1:17" x14ac:dyDescent="0.25">
      <c r="A17" s="44" t="s">
        <v>32</v>
      </c>
      <c r="B17" s="43">
        <v>83.54471810817445</v>
      </c>
      <c r="C17" s="43">
        <v>77.618003379228526</v>
      </c>
      <c r="D17" s="43">
        <v>83.83453338980658</v>
      </c>
      <c r="E17" s="43">
        <v>92.47</v>
      </c>
      <c r="F17" s="43">
        <v>84.544871452242234</v>
      </c>
      <c r="G17" s="43">
        <v>78.258062201815122</v>
      </c>
      <c r="H17" s="43">
        <v>79.402139710509758</v>
      </c>
      <c r="I17" s="43">
        <v>95.96</v>
      </c>
      <c r="J17" s="43">
        <v>85.367365640666264</v>
      </c>
      <c r="K17" s="43">
        <v>79.603835654791069</v>
      </c>
      <c r="L17" s="43">
        <v>83.992350872864108</v>
      </c>
      <c r="M17" s="43">
        <v>96.59</v>
      </c>
      <c r="N17" s="43">
        <v>86.986386911452485</v>
      </c>
      <c r="O17" s="43">
        <v>76.043602130558654</v>
      </c>
      <c r="P17" s="43">
        <v>79.551684652486216</v>
      </c>
      <c r="Q17" s="42"/>
    </row>
    <row r="18" spans="1:17" x14ac:dyDescent="0.25">
      <c r="A18" s="44" t="s">
        <v>546</v>
      </c>
      <c r="B18" s="43">
        <v>41.702699401490165</v>
      </c>
      <c r="C18" s="43">
        <v>58.92485193168028</v>
      </c>
      <c r="D18" s="43">
        <v>78.718764990624052</v>
      </c>
      <c r="E18" s="43">
        <v>77.08</v>
      </c>
      <c r="F18" s="43">
        <v>43.036718095921536</v>
      </c>
      <c r="G18" s="43">
        <v>60.370455877390825</v>
      </c>
      <c r="H18" s="43">
        <v>79.094772630684233</v>
      </c>
      <c r="I18" s="43">
        <v>74.52</v>
      </c>
      <c r="J18" s="43">
        <v>44.328023507578102</v>
      </c>
      <c r="K18" s="43">
        <v>56.983539940186745</v>
      </c>
      <c r="L18" s="43">
        <v>79.351373683123313</v>
      </c>
      <c r="M18" s="43">
        <v>73.569999999999993</v>
      </c>
      <c r="N18" s="43">
        <v>47.793715099091202</v>
      </c>
      <c r="O18" s="43">
        <v>61.463688835876553</v>
      </c>
      <c r="P18" s="43">
        <v>80.093778178539225</v>
      </c>
      <c r="Q18" s="42"/>
    </row>
    <row r="19" spans="1:17" x14ac:dyDescent="0.25">
      <c r="A19" s="44" t="s">
        <v>30</v>
      </c>
      <c r="B19" s="43">
        <v>30.762190787603071</v>
      </c>
      <c r="C19" s="43">
        <v>46.179075714338659</v>
      </c>
      <c r="D19" s="43">
        <v>69.746278551196284</v>
      </c>
      <c r="E19" s="43">
        <v>49.5</v>
      </c>
      <c r="F19" s="43">
        <v>30.505370445738151</v>
      </c>
      <c r="G19" s="43">
        <v>45.523921897004527</v>
      </c>
      <c r="H19" s="43">
        <v>69.68935726977513</v>
      </c>
      <c r="I19" s="43">
        <v>74.67</v>
      </c>
      <c r="J19" s="43">
        <v>24.438717219757152</v>
      </c>
      <c r="K19" s="43">
        <v>33.422874802769698</v>
      </c>
      <c r="L19" s="43">
        <v>72.736318407960198</v>
      </c>
      <c r="M19" s="43">
        <v>77.36</v>
      </c>
      <c r="N19" s="43">
        <v>26.89595471301709</v>
      </c>
      <c r="O19" s="43">
        <v>35.444753548755259</v>
      </c>
      <c r="P19" s="43">
        <v>80.121042830540034</v>
      </c>
      <c r="Q19" s="42"/>
    </row>
    <row r="20" spans="1:17" x14ac:dyDescent="0.25">
      <c r="A20" s="44" t="s">
        <v>29</v>
      </c>
      <c r="B20" s="43">
        <v>93.402944010471899</v>
      </c>
      <c r="C20" s="43">
        <v>93.532069382815649</v>
      </c>
      <c r="D20" s="43">
        <v>91.870403316031769</v>
      </c>
      <c r="E20" s="43">
        <v>71.819999999999993</v>
      </c>
      <c r="F20" s="43">
        <v>57.771644304482365</v>
      </c>
      <c r="G20" s="43">
        <v>59.07068390493648</v>
      </c>
      <c r="H20" s="43">
        <v>70.233283502205495</v>
      </c>
      <c r="I20" s="43">
        <v>80.98</v>
      </c>
      <c r="J20" s="43">
        <v>57.86455589183096</v>
      </c>
      <c r="K20" s="43">
        <v>59.12003763850808</v>
      </c>
      <c r="L20" s="43">
        <v>70.329609042404854</v>
      </c>
      <c r="M20" s="43">
        <v>84.98</v>
      </c>
      <c r="N20" s="43">
        <v>93.005437628909306</v>
      </c>
      <c r="O20" s="43">
        <v>93.308603634690584</v>
      </c>
      <c r="P20" s="43">
        <v>92.134785153191174</v>
      </c>
      <c r="Q20" s="42"/>
    </row>
    <row r="21" spans="1:17" x14ac:dyDescent="0.25">
      <c r="A21" s="44" t="s">
        <v>545</v>
      </c>
      <c r="B21" s="43">
        <v>91.297217514896417</v>
      </c>
      <c r="C21" s="43">
        <v>91.562034170393304</v>
      </c>
      <c r="D21" s="43">
        <v>93.936083037421469</v>
      </c>
      <c r="E21" s="43">
        <v>96.31</v>
      </c>
      <c r="F21" s="43">
        <v>91.525149079595536</v>
      </c>
      <c r="G21" s="43">
        <v>91.598462389537445</v>
      </c>
      <c r="H21" s="43">
        <v>94.086439310159307</v>
      </c>
      <c r="I21" s="43">
        <v>97.61</v>
      </c>
      <c r="J21" s="43">
        <v>91.322525597269617</v>
      </c>
      <c r="K21" s="43">
        <v>91.483450279963137</v>
      </c>
      <c r="L21" s="43">
        <v>94.299713193116631</v>
      </c>
      <c r="M21" s="43">
        <v>98.14</v>
      </c>
      <c r="N21" s="43">
        <v>91.918415340086838</v>
      </c>
      <c r="O21" s="43">
        <v>92.106247102283774</v>
      </c>
      <c r="P21" s="43">
        <v>94.526443353427382</v>
      </c>
      <c r="Q21" s="42"/>
    </row>
    <row r="22" spans="1:17" x14ac:dyDescent="0.25">
      <c r="A22" s="44" t="s">
        <v>27</v>
      </c>
      <c r="B22" s="43">
        <v>96.825396825396822</v>
      </c>
      <c r="C22" s="43">
        <v>86.79245283018868</v>
      </c>
      <c r="D22" s="43">
        <v>87.005649717514117</v>
      </c>
      <c r="E22" s="43" t="s">
        <v>542</v>
      </c>
      <c r="F22" s="43">
        <v>95.94202898550725</v>
      </c>
      <c r="G22" s="43">
        <v>84.710743801652882</v>
      </c>
      <c r="H22" s="43">
        <v>80.381471389645782</v>
      </c>
      <c r="I22" s="43">
        <v>94.27</v>
      </c>
      <c r="J22" s="43">
        <v>96.042216358839056</v>
      </c>
      <c r="K22" s="43">
        <v>87.190082644628092</v>
      </c>
      <c r="L22" s="43">
        <v>83.526011560693647</v>
      </c>
      <c r="M22" s="43">
        <v>95.56</v>
      </c>
      <c r="N22" s="43">
        <v>94.561933534743204</v>
      </c>
      <c r="O22" s="43">
        <v>88.888888888888886</v>
      </c>
      <c r="P22" s="43">
        <v>86.206896551724128</v>
      </c>
      <c r="Q22" s="42"/>
    </row>
    <row r="23" spans="1:17" x14ac:dyDescent="0.25">
      <c r="A23" s="44" t="s">
        <v>26</v>
      </c>
      <c r="B23" s="43">
        <v>72.980026127193028</v>
      </c>
      <c r="C23" s="43">
        <v>70.025925516360104</v>
      </c>
      <c r="D23" s="43">
        <v>76.495185190837361</v>
      </c>
      <c r="E23" s="43">
        <v>47.62</v>
      </c>
      <c r="F23" s="43">
        <v>73.449208397633171</v>
      </c>
      <c r="G23" s="43">
        <v>70.361643274254675</v>
      </c>
      <c r="H23" s="43">
        <v>78.380151732622522</v>
      </c>
      <c r="I23" s="43">
        <v>72.88</v>
      </c>
      <c r="J23" s="43">
        <v>84.296866695799039</v>
      </c>
      <c r="K23" s="43">
        <v>60.626266958530749</v>
      </c>
      <c r="L23" s="43">
        <v>79.046645229862634</v>
      </c>
      <c r="M23" s="43">
        <v>73.010000000000005</v>
      </c>
      <c r="N23" s="43">
        <v>85.953681586872989</v>
      </c>
      <c r="O23" s="43">
        <v>63.385595421602616</v>
      </c>
      <c r="P23" s="43">
        <v>81.190371867535433</v>
      </c>
      <c r="Q23" s="42"/>
    </row>
    <row r="24" spans="1:17" x14ac:dyDescent="0.25">
      <c r="A24" s="44" t="s">
        <v>25</v>
      </c>
      <c r="B24" s="43">
        <v>96.057579095294159</v>
      </c>
      <c r="C24" s="43">
        <v>96.93703543950808</v>
      </c>
      <c r="D24" s="43">
        <v>97.577449907550658</v>
      </c>
      <c r="E24" s="43">
        <v>98.29</v>
      </c>
      <c r="F24" s="43">
        <v>95.219596320131714</v>
      </c>
      <c r="G24" s="43">
        <v>93.72264694126396</v>
      </c>
      <c r="H24" s="43">
        <v>94.99048699889849</v>
      </c>
      <c r="I24" s="43">
        <v>99.16</v>
      </c>
      <c r="J24" s="43">
        <v>94.449775190674828</v>
      </c>
      <c r="K24" s="43">
        <v>92.630126002872231</v>
      </c>
      <c r="L24" s="43">
        <v>94.223786047497882</v>
      </c>
      <c r="M24" s="43">
        <v>98.96</v>
      </c>
      <c r="N24" s="43">
        <v>93.216994023705766</v>
      </c>
      <c r="O24" s="43">
        <v>91.411221470024657</v>
      </c>
      <c r="P24" s="43">
        <v>93.824714725593196</v>
      </c>
      <c r="Q24" s="42"/>
    </row>
    <row r="25" spans="1:17" x14ac:dyDescent="0.25">
      <c r="A25" s="44" t="s">
        <v>24</v>
      </c>
      <c r="B25" s="43">
        <v>30.726416440702152</v>
      </c>
      <c r="C25" s="43">
        <v>29.50530035335689</v>
      </c>
      <c r="D25" s="43">
        <v>44.833475661827499</v>
      </c>
      <c r="E25" s="43">
        <v>42.63</v>
      </c>
      <c r="F25" s="43">
        <v>23.4965842393919</v>
      </c>
      <c r="G25" s="43">
        <v>27.73526781277949</v>
      </c>
      <c r="H25" s="43">
        <v>44.035013412395877</v>
      </c>
      <c r="I25" s="43">
        <v>49.75</v>
      </c>
      <c r="J25" s="43">
        <v>21.829015076284193</v>
      </c>
      <c r="K25" s="43">
        <v>23.244094488188978</v>
      </c>
      <c r="L25" s="43">
        <v>38.27780499755022</v>
      </c>
      <c r="M25" s="43">
        <v>47.96</v>
      </c>
      <c r="N25" s="43">
        <v>52.493425770977765</v>
      </c>
      <c r="O25" s="43">
        <v>47.218715812505259</v>
      </c>
      <c r="P25" s="43">
        <v>55.501800180018002</v>
      </c>
      <c r="Q25" s="42"/>
    </row>
    <row r="26" spans="1:17" x14ac:dyDescent="0.25">
      <c r="A26" s="44" t="s">
        <v>17</v>
      </c>
      <c r="B26" s="43">
        <v>17.925474309093097</v>
      </c>
      <c r="C26" s="43">
        <v>14.652216507469998</v>
      </c>
      <c r="D26" s="43">
        <v>36.706073249884099</v>
      </c>
      <c r="E26" s="43">
        <v>26.28</v>
      </c>
      <c r="F26" s="43">
        <v>17.902343594043199</v>
      </c>
      <c r="G26" s="43">
        <v>14.912388187722092</v>
      </c>
      <c r="H26" s="43">
        <v>37.185316624154375</v>
      </c>
      <c r="I26" s="43">
        <v>44.03</v>
      </c>
      <c r="J26" s="43">
        <v>17.431443883738215</v>
      </c>
      <c r="K26" s="43">
        <v>15.024327334544815</v>
      </c>
      <c r="L26" s="43">
        <v>38.721528288023507</v>
      </c>
      <c r="M26" s="43">
        <v>44.79</v>
      </c>
      <c r="N26" s="43">
        <v>25.784039000422247</v>
      </c>
      <c r="O26" s="43">
        <v>28.359990451181666</v>
      </c>
      <c r="P26" s="43">
        <v>43.627351810641315</v>
      </c>
      <c r="Q26" s="42"/>
    </row>
    <row r="27" spans="1:17" x14ac:dyDescent="0.25">
      <c r="A27" s="44" t="s">
        <v>14</v>
      </c>
      <c r="B27" s="43">
        <v>58.325324363286882</v>
      </c>
      <c r="C27" s="43">
        <v>63.959440834809996</v>
      </c>
      <c r="D27" s="43">
        <v>54.278561675011382</v>
      </c>
      <c r="E27" s="43">
        <v>49.22</v>
      </c>
      <c r="F27" s="43">
        <v>27.278071722516167</v>
      </c>
      <c r="G27" s="43">
        <v>28.421876528715391</v>
      </c>
      <c r="H27" s="43">
        <v>41.399158733672792</v>
      </c>
      <c r="I27" s="43">
        <v>48.52</v>
      </c>
      <c r="J27" s="43">
        <v>24.88397001071046</v>
      </c>
      <c r="K27" s="43">
        <v>28.151986183074268</v>
      </c>
      <c r="L27" s="43">
        <v>49.415067852129155</v>
      </c>
      <c r="M27" s="43">
        <v>49.88</v>
      </c>
      <c r="N27" s="43">
        <v>69.884268091059383</v>
      </c>
      <c r="O27" s="43">
        <v>74.828030954428201</v>
      </c>
      <c r="P27" s="43">
        <v>61.32508023842275</v>
      </c>
      <c r="Q27" s="42"/>
    </row>
    <row r="28" spans="1:17" x14ac:dyDescent="0.25">
      <c r="A28" s="44" t="s">
        <v>13</v>
      </c>
      <c r="B28" s="43">
        <v>17.962297459176597</v>
      </c>
      <c r="C28" s="43">
        <v>18.471746575342465</v>
      </c>
      <c r="D28" s="43">
        <v>29.977903265406336</v>
      </c>
      <c r="E28" s="43">
        <v>14.12</v>
      </c>
      <c r="F28" s="43">
        <v>18.076923076923077</v>
      </c>
      <c r="G28" s="43">
        <v>19.400597269624573</v>
      </c>
      <c r="H28" s="43">
        <v>32.595140829929051</v>
      </c>
      <c r="I28" s="43">
        <v>34.25</v>
      </c>
      <c r="J28" s="43">
        <v>19.65715148769068</v>
      </c>
      <c r="K28" s="43">
        <v>20.59496567505721</v>
      </c>
      <c r="L28" s="43">
        <v>33.173269307723089</v>
      </c>
      <c r="M28" s="43">
        <v>37.24</v>
      </c>
      <c r="N28" s="43">
        <v>25.831988317577437</v>
      </c>
      <c r="O28" s="43">
        <v>26.278935661916137</v>
      </c>
      <c r="P28" s="43">
        <v>36.026743075453673</v>
      </c>
      <c r="Q28" s="42"/>
    </row>
    <row r="29" spans="1:17" x14ac:dyDescent="0.25">
      <c r="A29" s="44" t="s">
        <v>544</v>
      </c>
      <c r="B29" s="43">
        <v>74.73577402667479</v>
      </c>
      <c r="C29" s="43">
        <v>74.697767378375744</v>
      </c>
      <c r="D29" s="43">
        <v>76.109933229961086</v>
      </c>
      <c r="E29" s="43">
        <v>31.51</v>
      </c>
      <c r="F29" s="43">
        <v>76.050955414012748</v>
      </c>
      <c r="G29" s="43">
        <v>76.487801519359209</v>
      </c>
      <c r="H29" s="43">
        <v>77.399170987722414</v>
      </c>
      <c r="I29" s="43">
        <v>51.14</v>
      </c>
      <c r="J29" s="43">
        <v>75.081969041352551</v>
      </c>
      <c r="K29" s="43">
        <v>77.50189493993615</v>
      </c>
      <c r="L29" s="43">
        <v>77.605803355064651</v>
      </c>
      <c r="M29" s="43">
        <v>53.34</v>
      </c>
      <c r="N29" s="43">
        <v>74.086754261595658</v>
      </c>
      <c r="O29" s="43">
        <v>81.317130537044292</v>
      </c>
      <c r="P29" s="43">
        <v>75.815380510905086</v>
      </c>
      <c r="Q29" s="42"/>
    </row>
    <row r="30" spans="1:17" x14ac:dyDescent="0.25">
      <c r="A30" s="44" t="s">
        <v>11</v>
      </c>
      <c r="B30" s="43">
        <v>95.638849599245631</v>
      </c>
      <c r="C30" s="43">
        <v>93.058733790999241</v>
      </c>
      <c r="D30" s="43">
        <v>94.58385093167702</v>
      </c>
      <c r="E30" s="43">
        <v>100</v>
      </c>
      <c r="F30" s="43">
        <v>98.380398671096344</v>
      </c>
      <c r="G30" s="43">
        <v>93.764087152516908</v>
      </c>
      <c r="H30" s="43">
        <v>94.859702900259364</v>
      </c>
      <c r="I30" s="43">
        <v>99.8</v>
      </c>
      <c r="J30" s="43">
        <v>92.160694896851254</v>
      </c>
      <c r="K30" s="43">
        <v>89.864630336688649</v>
      </c>
      <c r="L30" s="43">
        <v>93.642785065590317</v>
      </c>
      <c r="M30" s="43">
        <v>99</v>
      </c>
      <c r="N30" s="43">
        <v>92.296450939457202</v>
      </c>
      <c r="O30" s="43">
        <v>87.852980726131776</v>
      </c>
      <c r="P30" s="43">
        <v>92.570579494799404</v>
      </c>
      <c r="Q30" s="42"/>
    </row>
    <row r="31" spans="1:17" x14ac:dyDescent="0.25">
      <c r="A31" s="44" t="s">
        <v>10</v>
      </c>
      <c r="B31" s="43">
        <v>79.438879395905175</v>
      </c>
      <c r="C31" s="43">
        <v>79.85320853814558</v>
      </c>
      <c r="D31" s="43">
        <v>80.538894528005912</v>
      </c>
      <c r="E31" s="43">
        <v>81.27</v>
      </c>
      <c r="F31" s="43">
        <v>80.083473604425677</v>
      </c>
      <c r="G31" s="43">
        <v>80.123549433173423</v>
      </c>
      <c r="H31" s="43">
        <v>80.227243989233912</v>
      </c>
      <c r="I31" s="43">
        <v>93.3</v>
      </c>
      <c r="J31" s="43">
        <v>73.752269960687272</v>
      </c>
      <c r="K31" s="43">
        <v>75.887085939482603</v>
      </c>
      <c r="L31" s="43">
        <v>80.564055193118179</v>
      </c>
      <c r="M31" s="43">
        <v>94.88</v>
      </c>
      <c r="N31" s="43">
        <v>73.484205953538407</v>
      </c>
      <c r="O31" s="43">
        <v>88.251082507859309</v>
      </c>
      <c r="P31" s="43">
        <v>86.847927421486915</v>
      </c>
      <c r="Q31" s="42"/>
    </row>
    <row r="32" spans="1:17" x14ac:dyDescent="0.25">
      <c r="A32" s="44" t="s">
        <v>9</v>
      </c>
      <c r="B32" s="43">
        <v>86.967839185459411</v>
      </c>
      <c r="C32" s="43">
        <v>90.074238289072909</v>
      </c>
      <c r="D32" s="43">
        <v>92.169881203873899</v>
      </c>
      <c r="E32" s="43" t="s">
        <v>542</v>
      </c>
      <c r="F32" s="43">
        <v>86.858239291879229</v>
      </c>
      <c r="G32" s="43">
        <v>89.808260077875019</v>
      </c>
      <c r="H32" s="43">
        <v>92.403535166983488</v>
      </c>
      <c r="I32" s="43">
        <v>95.8</v>
      </c>
      <c r="J32" s="43">
        <v>87.503542273405472</v>
      </c>
      <c r="K32" s="43">
        <v>90.864715080824936</v>
      </c>
      <c r="L32" s="43">
        <v>93.442738849563</v>
      </c>
      <c r="M32" s="43">
        <v>96.18</v>
      </c>
      <c r="N32" s="43">
        <v>79.271812717239044</v>
      </c>
      <c r="O32" s="43">
        <v>86.961304314909569</v>
      </c>
      <c r="P32" s="43">
        <v>92.229494811737638</v>
      </c>
      <c r="Q32" s="42"/>
    </row>
    <row r="33" spans="1:17" x14ac:dyDescent="0.25">
      <c r="A33" s="44" t="s">
        <v>8</v>
      </c>
      <c r="B33" s="43">
        <v>33.027417689572104</v>
      </c>
      <c r="C33" s="43">
        <v>40.68641018544146</v>
      </c>
      <c r="D33" s="43">
        <v>52.510849349039056</v>
      </c>
      <c r="E33" s="43" t="s">
        <v>542</v>
      </c>
      <c r="F33" s="43">
        <v>33.00481320192528</v>
      </c>
      <c r="G33" s="43">
        <v>40.68641018544146</v>
      </c>
      <c r="H33" s="43">
        <v>52.510849349039056</v>
      </c>
      <c r="I33" s="43">
        <v>54.96</v>
      </c>
      <c r="J33" s="43">
        <v>34.709431565576374</v>
      </c>
      <c r="K33" s="43">
        <v>37.555938037865751</v>
      </c>
      <c r="L33" s="43">
        <v>54.980079681274894</v>
      </c>
      <c r="M33" s="43">
        <v>60.32</v>
      </c>
      <c r="N33" s="43">
        <v>39.381578947368425</v>
      </c>
      <c r="O33" s="43">
        <v>52.881976212259843</v>
      </c>
      <c r="P33" s="43">
        <v>63.923182441700966</v>
      </c>
      <c r="Q33" s="42"/>
    </row>
    <row r="34" spans="1:17" x14ac:dyDescent="0.25">
      <c r="A34" s="44" t="s">
        <v>543</v>
      </c>
      <c r="B34" s="43">
        <v>90.76175791584518</v>
      </c>
      <c r="C34" s="43">
        <v>91.105269380289727</v>
      </c>
      <c r="D34" s="43">
        <v>94.592110515908018</v>
      </c>
      <c r="E34" s="43">
        <v>95.57</v>
      </c>
      <c r="F34" s="43">
        <v>91.036411074550472</v>
      </c>
      <c r="G34" s="43">
        <v>91.558318819447265</v>
      </c>
      <c r="H34" s="43">
        <v>94.959064880980549</v>
      </c>
      <c r="I34" s="43">
        <v>97.64</v>
      </c>
      <c r="J34" s="43">
        <v>91.795321685373906</v>
      </c>
      <c r="K34" s="43">
        <v>92.331225918489167</v>
      </c>
      <c r="L34" s="43">
        <v>95.484742709154375</v>
      </c>
      <c r="M34" s="43">
        <v>98.66</v>
      </c>
      <c r="N34" s="43">
        <v>85.322537678503679</v>
      </c>
      <c r="O34" s="43">
        <v>89.590294351630874</v>
      </c>
      <c r="P34" s="43">
        <v>93.306821129074095</v>
      </c>
      <c r="Q34" s="42"/>
    </row>
    <row r="35" spans="1:17" x14ac:dyDescent="0.25">
      <c r="A35" s="44" t="s">
        <v>6</v>
      </c>
      <c r="B35" s="43">
        <v>94.81528210385207</v>
      </c>
      <c r="C35" s="43">
        <v>95.254673231057012</v>
      </c>
      <c r="D35" s="43">
        <v>96.809274648609829</v>
      </c>
      <c r="E35" s="43">
        <v>87.7</v>
      </c>
      <c r="F35" s="43">
        <v>95.222170069623729</v>
      </c>
      <c r="G35" s="43">
        <v>95.269446476469156</v>
      </c>
      <c r="H35" s="43">
        <v>96.882207578253713</v>
      </c>
      <c r="I35" s="43">
        <v>91.69</v>
      </c>
      <c r="J35" s="43">
        <v>90.696625490159974</v>
      </c>
      <c r="K35" s="43">
        <v>88.824329065076299</v>
      </c>
      <c r="L35" s="43">
        <v>93.748519754548383</v>
      </c>
      <c r="M35" s="43">
        <v>92.92</v>
      </c>
      <c r="N35" s="43">
        <v>86.995350210347624</v>
      </c>
      <c r="O35" s="43">
        <v>81.614489811851044</v>
      </c>
      <c r="P35" s="43">
        <v>90.95662045889101</v>
      </c>
      <c r="Q35" s="42"/>
    </row>
    <row r="36" spans="1:17" x14ac:dyDescent="0.25">
      <c r="A36" s="44" t="s">
        <v>5</v>
      </c>
      <c r="B36" s="43">
        <v>15.742822002629458</v>
      </c>
      <c r="C36" s="43">
        <v>17.84179532070667</v>
      </c>
      <c r="D36" s="43">
        <v>29.394473838918284</v>
      </c>
      <c r="E36" s="43" t="s">
        <v>542</v>
      </c>
      <c r="F36" s="43">
        <v>15.147176485450794</v>
      </c>
      <c r="G36" s="43">
        <v>17.172934747669562</v>
      </c>
      <c r="H36" s="43">
        <v>28.823194997157476</v>
      </c>
      <c r="I36" s="43">
        <v>56.97</v>
      </c>
      <c r="J36" s="43">
        <v>14.720895768154124</v>
      </c>
      <c r="K36" s="43">
        <v>20.46492985971944</v>
      </c>
      <c r="L36" s="43">
        <v>34.127505750903715</v>
      </c>
      <c r="M36" s="43">
        <v>59.08</v>
      </c>
      <c r="N36" s="43">
        <v>10.436032152319367</v>
      </c>
      <c r="O36" s="43">
        <v>26.976495726495724</v>
      </c>
      <c r="P36" s="43">
        <v>45.795988049509177</v>
      </c>
      <c r="Q36" s="42"/>
    </row>
    <row r="37" spans="1:17" x14ac:dyDescent="0.25">
      <c r="A37" s="44" t="s">
        <v>4</v>
      </c>
      <c r="B37" s="43">
        <v>62.838800759621257</v>
      </c>
      <c r="C37" s="43">
        <v>76.153204845274885</v>
      </c>
      <c r="D37" s="43">
        <v>70.495462349766996</v>
      </c>
      <c r="E37" s="43">
        <v>47.06</v>
      </c>
      <c r="F37" s="43">
        <v>65.702635759654953</v>
      </c>
      <c r="G37" s="43">
        <v>75.721533520549855</v>
      </c>
      <c r="H37" s="43">
        <v>70.715741611790534</v>
      </c>
      <c r="I37" s="43">
        <v>75.19</v>
      </c>
      <c r="J37" s="43">
        <v>65.824702460655047</v>
      </c>
      <c r="K37" s="43">
        <v>71.028122740476704</v>
      </c>
      <c r="L37" s="43">
        <v>70.80739321369191</v>
      </c>
      <c r="M37" s="43">
        <v>77.819999999999993</v>
      </c>
      <c r="N37" s="43">
        <v>70.622608746836192</v>
      </c>
      <c r="O37" s="43">
        <v>72.422180009235547</v>
      </c>
      <c r="P37" s="43">
        <v>73.857399039588373</v>
      </c>
      <c r="Q37" s="42"/>
    </row>
    <row r="38" spans="1:17" x14ac:dyDescent="0.25">
      <c r="A38" s="44" t="s">
        <v>3</v>
      </c>
      <c r="B38" s="43">
        <v>71.583377771006312</v>
      </c>
      <c r="C38" s="43">
        <v>82.769204894252198</v>
      </c>
      <c r="D38" s="43">
        <v>90.736391847689333</v>
      </c>
      <c r="E38" s="43">
        <v>93.08</v>
      </c>
      <c r="F38" s="43">
        <v>73.055470072318812</v>
      </c>
      <c r="G38" s="43">
        <v>82.370611964638229</v>
      </c>
      <c r="H38" s="43">
        <v>91.102892287234042</v>
      </c>
      <c r="I38" s="43">
        <v>94.36</v>
      </c>
      <c r="J38" s="43">
        <v>67.784494086727989</v>
      </c>
      <c r="K38" s="43">
        <v>77.994168660287073</v>
      </c>
      <c r="L38" s="43">
        <v>90.542697525937754</v>
      </c>
      <c r="M38" s="43">
        <v>93.83</v>
      </c>
      <c r="N38" s="43">
        <v>70.502787209703484</v>
      </c>
      <c r="O38" s="43">
        <v>79.513954099838486</v>
      </c>
      <c r="P38" s="43">
        <v>89.782494954779878</v>
      </c>
      <c r="Q38" s="42"/>
    </row>
    <row r="39" spans="1:17" x14ac:dyDescent="0.25">
      <c r="A39" s="44" t="s">
        <v>2</v>
      </c>
      <c r="B39" s="43">
        <v>24.25934834761166</v>
      </c>
      <c r="C39" s="43">
        <v>52.984834440496421</v>
      </c>
      <c r="D39" s="43">
        <v>73.436181924765151</v>
      </c>
      <c r="E39" s="43">
        <v>77.39</v>
      </c>
      <c r="F39" s="43">
        <v>27.477398528394843</v>
      </c>
      <c r="G39" s="43">
        <v>53.686201646062933</v>
      </c>
      <c r="H39" s="43">
        <v>74.703328509406646</v>
      </c>
      <c r="I39" s="43">
        <v>68.75</v>
      </c>
      <c r="J39" s="43">
        <v>31.135787356824341</v>
      </c>
      <c r="K39" s="43">
        <v>52.601314348302296</v>
      </c>
      <c r="L39" s="43">
        <v>78.914795226095862</v>
      </c>
      <c r="M39" s="43">
        <v>72.39</v>
      </c>
      <c r="N39" s="43">
        <v>33.359848581011128</v>
      </c>
      <c r="O39" s="43">
        <v>54.768636955253356</v>
      </c>
      <c r="P39" s="43">
        <v>81.140537097972611</v>
      </c>
      <c r="Q39" s="42"/>
    </row>
    <row r="40" spans="1:17" x14ac:dyDescent="0.25">
      <c r="A40" s="44" t="s">
        <v>541</v>
      </c>
      <c r="B40" s="43">
        <v>67.819800468325894</v>
      </c>
      <c r="C40" s="43">
        <v>74.564032758770722</v>
      </c>
      <c r="D40" s="43">
        <v>81.601187701762569</v>
      </c>
      <c r="E40" s="43">
        <v>64.45</v>
      </c>
      <c r="F40" s="43">
        <v>67.217916814117089</v>
      </c>
      <c r="G40" s="43">
        <v>72.621535270861187</v>
      </c>
      <c r="H40" s="43">
        <v>79.957967333560404</v>
      </c>
      <c r="I40" s="43">
        <v>84.21</v>
      </c>
      <c r="J40" s="43">
        <v>68.308785614688873</v>
      </c>
      <c r="K40" s="43">
        <v>65.716504531001675</v>
      </c>
      <c r="L40" s="43">
        <v>80.418950381299211</v>
      </c>
      <c r="M40" s="43">
        <v>87.24</v>
      </c>
      <c r="N40" s="43">
        <v>71.677240085453136</v>
      </c>
      <c r="O40" s="43">
        <v>72.274351952397481</v>
      </c>
      <c r="P40" s="43">
        <v>82.622734573382729</v>
      </c>
      <c r="Q40" s="42"/>
    </row>
    <row r="41" spans="1:17" x14ac:dyDescent="0.25">
      <c r="A41" s="57" t="s">
        <v>0</v>
      </c>
      <c r="B41" s="57"/>
      <c r="C41" s="57"/>
      <c r="D41" s="57"/>
      <c r="E41" s="57"/>
      <c r="F41" s="57"/>
      <c r="G41" s="57"/>
      <c r="H41" s="57"/>
      <c r="I41" s="57"/>
      <c r="J41" s="57"/>
      <c r="K41" s="57"/>
      <c r="L41" s="57"/>
      <c r="M41" s="57"/>
      <c r="N41" s="57"/>
      <c r="O41" s="57"/>
      <c r="P41" s="57"/>
      <c r="Q41" s="41"/>
    </row>
  </sheetData>
  <mergeCells count="8">
    <mergeCell ref="Q4:T4"/>
    <mergeCell ref="A2:A3"/>
    <mergeCell ref="A1:P1"/>
    <mergeCell ref="N2:P2"/>
    <mergeCell ref="A41:P41"/>
    <mergeCell ref="B2:E2"/>
    <mergeCell ref="F2:I2"/>
    <mergeCell ref="J2:M2"/>
  </mergeCells>
  <hyperlinks>
    <hyperlink ref="Q4:T4" location="'SDG 4 - Index'!A1" display="Return to Index Page" xr:uid="{AC33B6F9-2B9E-4703-BD48-2E6F0F29BD4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3D88-731E-44F6-BED6-C8B67FE1927E}">
  <sheetPr codeName="Sheet23"/>
  <dimension ref="A1:M42"/>
  <sheetViews>
    <sheetView topLeftCell="A9" workbookViewId="0">
      <selection activeCell="T12" sqref="T12"/>
    </sheetView>
  </sheetViews>
  <sheetFormatPr defaultColWidth="9.140625" defaultRowHeight="16.5" x14ac:dyDescent="0.25"/>
  <cols>
    <col min="1" max="1" width="28.7109375" style="35" customWidth="1"/>
    <col min="2" max="2" width="16.42578125" style="35" bestFit="1" customWidth="1"/>
    <col min="3" max="3" width="26.5703125" style="35" customWidth="1"/>
    <col min="4" max="4" width="14.85546875" style="35" customWidth="1"/>
    <col min="5" max="5" width="13.42578125" style="35" customWidth="1"/>
    <col min="6" max="6" width="19.7109375" style="35" customWidth="1"/>
    <col min="7" max="8" width="9.140625" style="35"/>
    <col min="9" max="9" width="26.5703125" style="35" customWidth="1"/>
    <col min="10" max="16384" width="9.140625" style="35"/>
  </cols>
  <sheetData>
    <row r="1" spans="1:13" ht="42.75" customHeight="1" x14ac:dyDescent="0.25">
      <c r="A1" s="49" t="s">
        <v>539</v>
      </c>
      <c r="B1" s="49"/>
      <c r="C1" s="49"/>
      <c r="D1" s="49"/>
      <c r="E1" s="49"/>
      <c r="F1" s="49"/>
      <c r="G1" s="49"/>
      <c r="H1" s="49"/>
      <c r="I1" s="49"/>
    </row>
    <row r="2" spans="1:13" x14ac:dyDescent="0.25">
      <c r="A2" s="49" t="s">
        <v>56</v>
      </c>
      <c r="B2" s="49" t="s">
        <v>521</v>
      </c>
      <c r="C2" s="49"/>
      <c r="D2" s="49"/>
      <c r="E2" s="49"/>
      <c r="F2" s="49"/>
      <c r="G2" s="49"/>
      <c r="H2" s="49"/>
      <c r="I2" s="49"/>
    </row>
    <row r="3" spans="1:13" ht="80.25" customHeight="1" x14ac:dyDescent="0.25">
      <c r="A3" s="49"/>
      <c r="B3" s="49" t="s">
        <v>538</v>
      </c>
      <c r="C3" s="49" t="s">
        <v>537</v>
      </c>
      <c r="D3" s="49" t="s">
        <v>536</v>
      </c>
      <c r="E3" s="49"/>
      <c r="F3" s="49" t="s">
        <v>535</v>
      </c>
      <c r="G3" s="49" t="s">
        <v>534</v>
      </c>
      <c r="H3" s="49"/>
      <c r="I3" s="49" t="s">
        <v>533</v>
      </c>
    </row>
    <row r="4" spans="1:13" x14ac:dyDescent="0.25">
      <c r="A4" s="49"/>
      <c r="B4" s="49"/>
      <c r="C4" s="49"/>
      <c r="D4" s="40" t="s">
        <v>532</v>
      </c>
      <c r="E4" s="40" t="s">
        <v>531</v>
      </c>
      <c r="F4" s="49"/>
      <c r="G4" s="40" t="s">
        <v>530</v>
      </c>
      <c r="H4" s="40" t="s">
        <v>529</v>
      </c>
      <c r="I4" s="49"/>
    </row>
    <row r="5" spans="1:13" x14ac:dyDescent="0.25">
      <c r="A5" s="39" t="s">
        <v>50</v>
      </c>
      <c r="B5" s="38">
        <v>92.270531400966178</v>
      </c>
      <c r="C5" s="37">
        <v>52.173913043478258</v>
      </c>
      <c r="D5" s="37">
        <v>20.048309178743963</v>
      </c>
      <c r="E5" s="37">
        <v>47.342995169082123</v>
      </c>
      <c r="F5" s="37">
        <v>99.758454106280197</v>
      </c>
      <c r="G5" s="38">
        <v>98.550724637681171</v>
      </c>
      <c r="H5" s="37">
        <v>99.275362318840578</v>
      </c>
      <c r="I5" s="37">
        <v>98.309178743961354</v>
      </c>
      <c r="J5" s="50" t="s">
        <v>49</v>
      </c>
      <c r="K5" s="51"/>
      <c r="L5" s="51"/>
      <c r="M5" s="51"/>
    </row>
    <row r="6" spans="1:13" x14ac:dyDescent="0.25">
      <c r="A6" s="39" t="s">
        <v>48</v>
      </c>
      <c r="B6" s="38">
        <v>93.055752031561894</v>
      </c>
      <c r="C6" s="37">
        <v>28.87568570126216</v>
      </c>
      <c r="D6" s="37">
        <v>2.4755976800113171</v>
      </c>
      <c r="E6" s="37">
        <v>37.732824067524874</v>
      </c>
      <c r="F6" s="37">
        <v>89.464170635481992</v>
      </c>
      <c r="G6" s="38">
        <v>88.629540560506754</v>
      </c>
      <c r="H6" s="37">
        <v>96.395844139513684</v>
      </c>
      <c r="I6" s="37">
        <v>81.675861743763861</v>
      </c>
    </row>
    <row r="7" spans="1:13" x14ac:dyDescent="0.25">
      <c r="A7" s="39" t="s">
        <v>47</v>
      </c>
      <c r="B7" s="38">
        <v>39.810176641181123</v>
      </c>
      <c r="C7" s="37">
        <v>15.423147904033746</v>
      </c>
      <c r="D7" s="37">
        <v>5.6156076983917744</v>
      </c>
      <c r="E7" s="37">
        <v>20.458739783812284</v>
      </c>
      <c r="F7" s="37">
        <v>62.061692591616136</v>
      </c>
      <c r="G7" s="38">
        <v>70.023727919852362</v>
      </c>
      <c r="H7" s="37">
        <v>70.181914052201421</v>
      </c>
      <c r="I7" s="37">
        <v>27.998945425784338</v>
      </c>
    </row>
    <row r="8" spans="1:13" x14ac:dyDescent="0.25">
      <c r="A8" s="39" t="s">
        <v>46</v>
      </c>
      <c r="B8" s="38">
        <v>30.159519932452806</v>
      </c>
      <c r="C8" s="37">
        <v>13.958747964537723</v>
      </c>
      <c r="D8" s="37">
        <v>13.467221518605632</v>
      </c>
      <c r="E8" s="37">
        <v>56.225499065195109</v>
      </c>
      <c r="F8" s="37">
        <v>88.868282974488878</v>
      </c>
      <c r="G8" s="38">
        <v>73.338459682769425</v>
      </c>
      <c r="H8" s="37">
        <v>75.105542488390327</v>
      </c>
      <c r="I8" s="37">
        <v>78.915626319281102</v>
      </c>
    </row>
    <row r="9" spans="1:13" x14ac:dyDescent="0.25">
      <c r="A9" s="39" t="s">
        <v>45</v>
      </c>
      <c r="B9" s="38">
        <v>77.745897964673176</v>
      </c>
      <c r="C9" s="37">
        <v>11.07549538240832</v>
      </c>
      <c r="D9" s="37">
        <v>10.692190442033533</v>
      </c>
      <c r="E9" s="37">
        <v>70.25800233121133</v>
      </c>
      <c r="F9" s="37">
        <v>99.560656325652289</v>
      </c>
      <c r="G9" s="38">
        <v>96.89097103918229</v>
      </c>
      <c r="H9" s="37">
        <v>97.678875638841561</v>
      </c>
      <c r="I9" s="37">
        <v>81.315565318748313</v>
      </c>
    </row>
    <row r="10" spans="1:13" x14ac:dyDescent="0.25">
      <c r="A10" s="39" t="s">
        <v>44</v>
      </c>
      <c r="B10" s="38">
        <v>100</v>
      </c>
      <c r="C10" s="37">
        <v>98.253275109170303</v>
      </c>
      <c r="D10" s="37">
        <v>59.825327510917027</v>
      </c>
      <c r="E10" s="37">
        <v>71.179039301310041</v>
      </c>
      <c r="F10" s="37">
        <v>100</v>
      </c>
      <c r="G10" s="38">
        <v>98.689956331877724</v>
      </c>
      <c r="H10" s="37">
        <v>99.563318777292579</v>
      </c>
      <c r="I10" s="37">
        <v>100</v>
      </c>
    </row>
    <row r="11" spans="1:13" x14ac:dyDescent="0.25">
      <c r="A11" s="39" t="s">
        <v>41</v>
      </c>
      <c r="B11" s="38">
        <v>80.824181682482148</v>
      </c>
      <c r="C11" s="37">
        <v>93.119380175569532</v>
      </c>
      <c r="D11" s="37">
        <v>53.618011870490811</v>
      </c>
      <c r="E11" s="37">
        <v>63.428936986885596</v>
      </c>
      <c r="F11" s="37">
        <v>99.251874755659813</v>
      </c>
      <c r="G11" s="38">
        <v>96.611223655684682</v>
      </c>
      <c r="H11" s="37">
        <v>97.298930234211184</v>
      </c>
      <c r="I11" s="37">
        <v>92.80484770942175</v>
      </c>
    </row>
    <row r="12" spans="1:13" x14ac:dyDescent="0.25">
      <c r="A12" s="39" t="s">
        <v>38</v>
      </c>
      <c r="B12" s="38">
        <v>100</v>
      </c>
      <c r="C12" s="37">
        <v>72.832369942196522</v>
      </c>
      <c r="D12" s="37">
        <v>75.144508670520224</v>
      </c>
      <c r="E12" s="37">
        <v>82.658959537572258</v>
      </c>
      <c r="F12" s="37">
        <v>100</v>
      </c>
      <c r="G12" s="38">
        <v>93.063583815028906</v>
      </c>
      <c r="H12" s="37">
        <v>94.797687861271669</v>
      </c>
      <c r="I12" s="37">
        <v>99.710982658959537</v>
      </c>
    </row>
    <row r="13" spans="1:13" x14ac:dyDescent="0.25">
      <c r="A13" s="39" t="s">
        <v>37</v>
      </c>
      <c r="B13" s="38">
        <v>100</v>
      </c>
      <c r="C13" s="37">
        <v>92.857142857142861</v>
      </c>
      <c r="D13" s="37">
        <v>46.428571428571431</v>
      </c>
      <c r="E13" s="37">
        <v>80.714285714285722</v>
      </c>
      <c r="F13" s="37">
        <v>100</v>
      </c>
      <c r="G13" s="38">
        <v>96.428571428571431</v>
      </c>
      <c r="H13" s="37">
        <v>95.714285714285722</v>
      </c>
      <c r="I13" s="37">
        <v>98.571428571428584</v>
      </c>
    </row>
    <row r="14" spans="1:13" x14ac:dyDescent="0.25">
      <c r="A14" s="39" t="s">
        <v>36</v>
      </c>
      <c r="B14" s="38">
        <v>100</v>
      </c>
      <c r="C14" s="37">
        <v>92.425039452919506</v>
      </c>
      <c r="D14" s="37">
        <v>87.866035419954414</v>
      </c>
      <c r="E14" s="37">
        <v>74.346834999123274</v>
      </c>
      <c r="F14" s="37">
        <v>100</v>
      </c>
      <c r="G14" s="38">
        <v>87.269857969489735</v>
      </c>
      <c r="H14" s="37">
        <v>83.131685078029108</v>
      </c>
      <c r="I14" s="37">
        <v>99.964930738207954</v>
      </c>
    </row>
    <row r="15" spans="1:13" x14ac:dyDescent="0.25">
      <c r="A15" s="39" t="s">
        <v>35</v>
      </c>
      <c r="B15" s="38">
        <v>99.932705248990587</v>
      </c>
      <c r="C15" s="37">
        <v>48.788694481830419</v>
      </c>
      <c r="D15" s="37">
        <v>3.768506056527591</v>
      </c>
      <c r="E15" s="37">
        <v>53.903095558546433</v>
      </c>
      <c r="F15" s="37">
        <v>100</v>
      </c>
      <c r="G15" s="38">
        <v>99.192462987886941</v>
      </c>
      <c r="H15" s="37">
        <v>99.259757738896369</v>
      </c>
      <c r="I15" s="37">
        <v>99.932705248990587</v>
      </c>
    </row>
    <row r="16" spans="1:13" x14ac:dyDescent="0.25">
      <c r="A16" s="39" t="s">
        <v>34</v>
      </c>
      <c r="B16" s="38">
        <v>99.919385866876752</v>
      </c>
      <c r="C16" s="37">
        <v>70.346823986368875</v>
      </c>
      <c r="D16" s="37">
        <v>13.545006504094831</v>
      </c>
      <c r="E16" s="37">
        <v>80.850479104450272</v>
      </c>
      <c r="F16" s="37">
        <v>99.985342884886691</v>
      </c>
      <c r="G16" s="38">
        <v>96.533592275700329</v>
      </c>
      <c r="H16" s="37">
        <v>97.381872812883614</v>
      </c>
      <c r="I16" s="37">
        <v>93.360326853667033</v>
      </c>
    </row>
    <row r="17" spans="1:9" x14ac:dyDescent="0.25">
      <c r="A17" s="39" t="s">
        <v>33</v>
      </c>
      <c r="B17" s="38">
        <v>97.917906008328387</v>
      </c>
      <c r="C17" s="37">
        <v>48.028384465029319</v>
      </c>
      <c r="D17" s="37">
        <v>27.096966091612135</v>
      </c>
      <c r="E17" s="37">
        <v>63.040707062122891</v>
      </c>
      <c r="F17" s="37">
        <v>99.71530551542449</v>
      </c>
      <c r="G17" s="38">
        <v>92.806152800203961</v>
      </c>
      <c r="H17" s="37">
        <v>95.572363389139113</v>
      </c>
      <c r="I17" s="37">
        <v>98.406560720659471</v>
      </c>
    </row>
    <row r="18" spans="1:9" x14ac:dyDescent="0.25">
      <c r="A18" s="39" t="s">
        <v>32</v>
      </c>
      <c r="B18" s="38">
        <v>95.272347902481883</v>
      </c>
      <c r="C18" s="37">
        <v>32.599385020865363</v>
      </c>
      <c r="D18" s="37">
        <v>22.820118603118821</v>
      </c>
      <c r="E18" s="37">
        <v>67.290797276520976</v>
      </c>
      <c r="F18" s="37">
        <v>99.917636723039749</v>
      </c>
      <c r="G18" s="38">
        <v>96.892159016033389</v>
      </c>
      <c r="H18" s="37">
        <v>97.67735558972106</v>
      </c>
      <c r="I18" s="37">
        <v>98.770041730727002</v>
      </c>
    </row>
    <row r="19" spans="1:9" x14ac:dyDescent="0.25">
      <c r="A19" s="39" t="s">
        <v>31</v>
      </c>
      <c r="B19" s="38">
        <v>64.474215699474897</v>
      </c>
      <c r="C19" s="37">
        <v>21.758448902652482</v>
      </c>
      <c r="D19" s="37">
        <v>3.4031237377137473</v>
      </c>
      <c r="E19" s="37">
        <v>34.064898343880436</v>
      </c>
      <c r="F19" s="37">
        <v>95.799111350477986</v>
      </c>
      <c r="G19" s="38">
        <v>87.107849737444468</v>
      </c>
      <c r="H19" s="37">
        <v>88.292715766796832</v>
      </c>
      <c r="I19" s="37">
        <v>91.968493335128585</v>
      </c>
    </row>
    <row r="20" spans="1:9" x14ac:dyDescent="0.25">
      <c r="A20" s="39" t="s">
        <v>30</v>
      </c>
      <c r="B20" s="38">
        <v>72.782521564868858</v>
      </c>
      <c r="C20" s="37">
        <v>56.205890040951466</v>
      </c>
      <c r="D20" s="37">
        <v>1.3853794545612965</v>
      </c>
      <c r="E20" s="37">
        <v>62.241875054456742</v>
      </c>
      <c r="F20" s="37">
        <v>96.710812930208249</v>
      </c>
      <c r="G20" s="38">
        <v>96.279515552844813</v>
      </c>
      <c r="H20" s="37">
        <v>97.73459963405071</v>
      </c>
      <c r="I20" s="37">
        <v>82.375620806831051</v>
      </c>
    </row>
    <row r="21" spans="1:9" x14ac:dyDescent="0.25">
      <c r="A21" s="39" t="s">
        <v>29</v>
      </c>
      <c r="B21" s="38">
        <v>88.789896846599262</v>
      </c>
      <c r="C21" s="37">
        <v>49.989135019748701</v>
      </c>
      <c r="D21" s="37">
        <v>6.329809671110656</v>
      </c>
      <c r="E21" s="37">
        <v>47.707489166975577</v>
      </c>
      <c r="F21" s="37">
        <v>98.806130405327679</v>
      </c>
      <c r="G21" s="38">
        <v>91.68637275829893</v>
      </c>
      <c r="H21" s="37">
        <v>94.976544424986898</v>
      </c>
      <c r="I21" s="37">
        <v>94.276072757020685</v>
      </c>
    </row>
    <row r="22" spans="1:9" x14ac:dyDescent="0.25">
      <c r="A22" s="39" t="s">
        <v>28</v>
      </c>
      <c r="B22" s="38">
        <v>98.922220226333764</v>
      </c>
      <c r="C22" s="37">
        <v>87.97078019280282</v>
      </c>
      <c r="D22" s="37">
        <v>11.945392491467576</v>
      </c>
      <c r="E22" s="37">
        <v>67.564816478055207</v>
      </c>
      <c r="F22" s="37">
        <v>99.562900425124241</v>
      </c>
      <c r="G22" s="38">
        <v>97.119932938147414</v>
      </c>
      <c r="H22" s="37">
        <v>98.808454583557875</v>
      </c>
      <c r="I22" s="37">
        <v>97.347464223699177</v>
      </c>
    </row>
    <row r="23" spans="1:9" x14ac:dyDescent="0.25">
      <c r="A23" s="39" t="s">
        <v>27</v>
      </c>
      <c r="B23" s="38">
        <v>100</v>
      </c>
      <c r="C23" s="37">
        <v>91.111111111111114</v>
      </c>
      <c r="D23" s="37">
        <v>24.444444444444443</v>
      </c>
      <c r="E23" s="37">
        <v>91.111111111111114</v>
      </c>
      <c r="F23" s="37">
        <v>100</v>
      </c>
      <c r="G23" s="38">
        <v>97.777777777777771</v>
      </c>
      <c r="H23" s="37">
        <v>100</v>
      </c>
      <c r="I23" s="37">
        <v>100</v>
      </c>
    </row>
    <row r="24" spans="1:9" x14ac:dyDescent="0.25">
      <c r="A24" s="39" t="s">
        <v>26</v>
      </c>
      <c r="B24" s="38">
        <v>55.214066881296084</v>
      </c>
      <c r="C24" s="37">
        <v>6.5758386125246648</v>
      </c>
      <c r="D24" s="37">
        <v>1.3332121715650638</v>
      </c>
      <c r="E24" s="37">
        <v>74.258100529650022</v>
      </c>
      <c r="F24" s="37">
        <v>95.380491224426208</v>
      </c>
      <c r="G24" s="38">
        <v>94.889786062934888</v>
      </c>
      <c r="H24" s="37">
        <v>96.027624883165444</v>
      </c>
      <c r="I24" s="37">
        <v>85.561195347388093</v>
      </c>
    </row>
    <row r="25" spans="1:9" x14ac:dyDescent="0.25">
      <c r="A25" s="39" t="s">
        <v>25</v>
      </c>
      <c r="B25" s="38">
        <v>86.710265412672143</v>
      </c>
      <c r="C25" s="37">
        <v>69.830456058649105</v>
      </c>
      <c r="D25" s="37">
        <v>34.271706900001817</v>
      </c>
      <c r="E25" s="37">
        <v>88.827745538556684</v>
      </c>
      <c r="F25" s="37">
        <v>98.768441541903911</v>
      </c>
      <c r="G25" s="38">
        <v>94.066871623219512</v>
      </c>
      <c r="H25" s="37">
        <v>95.890560477342603</v>
      </c>
      <c r="I25" s="37">
        <v>96.643684852012882</v>
      </c>
    </row>
    <row r="26" spans="1:9" x14ac:dyDescent="0.25">
      <c r="A26" s="39" t="s">
        <v>24</v>
      </c>
      <c r="B26" s="38">
        <v>48.286540049545827</v>
      </c>
      <c r="C26" s="37">
        <v>27.601156069364162</v>
      </c>
      <c r="D26" s="37">
        <v>6.8951279933938885</v>
      </c>
      <c r="E26" s="37">
        <v>47.811725846407924</v>
      </c>
      <c r="F26" s="37">
        <v>89.554087530966143</v>
      </c>
      <c r="G26" s="38">
        <v>78.303055326176718</v>
      </c>
      <c r="H26" s="37">
        <v>77.725020644095792</v>
      </c>
      <c r="I26" s="37">
        <v>79.76878612716763</v>
      </c>
    </row>
    <row r="27" spans="1:9" x14ac:dyDescent="0.25">
      <c r="A27" s="39" t="s">
        <v>17</v>
      </c>
      <c r="B27" s="38">
        <v>19.081055286658941</v>
      </c>
      <c r="C27" s="37">
        <v>12.373031563160406</v>
      </c>
      <c r="D27" s="37">
        <v>1.6156520553548299</v>
      </c>
      <c r="E27" s="37">
        <v>20.812597995773398</v>
      </c>
      <c r="F27" s="37">
        <v>37.698547958279363</v>
      </c>
      <c r="G27" s="38">
        <v>71.893107914649946</v>
      </c>
      <c r="H27" s="37">
        <v>67.898288908582728</v>
      </c>
      <c r="I27" s="37">
        <v>27.404731065512305</v>
      </c>
    </row>
    <row r="28" spans="1:9" x14ac:dyDescent="0.25">
      <c r="A28" s="39" t="s">
        <v>14</v>
      </c>
      <c r="B28" s="38">
        <v>73.881932021466895</v>
      </c>
      <c r="C28" s="37">
        <v>46.639407104523386</v>
      </c>
      <c r="D28" s="37">
        <v>15.665729619217991</v>
      </c>
      <c r="E28" s="37">
        <v>44.339381548683875</v>
      </c>
      <c r="F28" s="37">
        <v>93.636595962177367</v>
      </c>
      <c r="G28" s="38">
        <v>85.969844109378997</v>
      </c>
      <c r="H28" s="37">
        <v>85.458727319192434</v>
      </c>
      <c r="I28" s="37">
        <v>68.38742652696142</v>
      </c>
    </row>
    <row r="29" spans="1:9" x14ac:dyDescent="0.25">
      <c r="A29" s="39" t="s">
        <v>13</v>
      </c>
      <c r="B29" s="38">
        <v>63.045058139534881</v>
      </c>
      <c r="C29" s="37">
        <v>40.116279069767444</v>
      </c>
      <c r="D29" s="37">
        <v>3.0159883720930236</v>
      </c>
      <c r="E29" s="37">
        <v>34.992732558139537</v>
      </c>
      <c r="F29" s="37">
        <v>63.481104651162788</v>
      </c>
      <c r="G29" s="38">
        <v>90.770348837209298</v>
      </c>
      <c r="H29" s="37">
        <v>90.297965116279073</v>
      </c>
      <c r="I29" s="37">
        <v>45.639534883720927</v>
      </c>
    </row>
    <row r="30" spans="1:9" x14ac:dyDescent="0.25">
      <c r="A30" s="39" t="s">
        <v>12</v>
      </c>
      <c r="B30" s="38">
        <v>37.885821557984194</v>
      </c>
      <c r="C30" s="37">
        <v>9.779239489500414</v>
      </c>
      <c r="D30" s="37">
        <v>67.961348720112923</v>
      </c>
      <c r="E30" s="37">
        <v>69.722193925811666</v>
      </c>
      <c r="F30" s="37">
        <v>100</v>
      </c>
      <c r="G30" s="38">
        <v>95.103104035391524</v>
      </c>
      <c r="H30" s="37">
        <v>97.897172460963077</v>
      </c>
      <c r="I30" s="37">
        <v>100</v>
      </c>
    </row>
    <row r="31" spans="1:9" x14ac:dyDescent="0.25">
      <c r="A31" s="39" t="s">
        <v>11</v>
      </c>
      <c r="B31" s="38">
        <v>100</v>
      </c>
      <c r="C31" s="37">
        <v>89.309878213802435</v>
      </c>
      <c r="D31" s="37">
        <v>38.430311231393773</v>
      </c>
      <c r="E31" s="37">
        <v>63.193504736129903</v>
      </c>
      <c r="F31" s="37">
        <v>99.86468200270636</v>
      </c>
      <c r="G31" s="38">
        <v>94.857916102841671</v>
      </c>
      <c r="H31" s="37">
        <v>95.534506089309872</v>
      </c>
      <c r="I31" s="37">
        <v>98.917456021650878</v>
      </c>
    </row>
    <row r="32" spans="1:9" x14ac:dyDescent="0.25">
      <c r="A32" s="39" t="s">
        <v>10</v>
      </c>
      <c r="B32" s="38">
        <v>99.954604183399098</v>
      </c>
      <c r="C32" s="37">
        <v>66.738834375109121</v>
      </c>
      <c r="D32" s="37">
        <v>40.468624506756996</v>
      </c>
      <c r="E32" s="37">
        <v>62.485595558193943</v>
      </c>
      <c r="F32" s="37">
        <v>99.912700352690578</v>
      </c>
      <c r="G32" s="38">
        <v>95.621049690959254</v>
      </c>
      <c r="H32" s="37">
        <v>97.297202919300204</v>
      </c>
      <c r="I32" s="37">
        <v>99.00478402067256</v>
      </c>
    </row>
    <row r="33" spans="1:9" x14ac:dyDescent="0.25">
      <c r="A33" s="39" t="s">
        <v>9</v>
      </c>
      <c r="B33" s="38">
        <v>71.266397816457797</v>
      </c>
      <c r="C33" s="37">
        <v>44.447172822832748</v>
      </c>
      <c r="D33" s="37">
        <v>17.302116487065913</v>
      </c>
      <c r="E33" s="37">
        <v>56.393377596025807</v>
      </c>
      <c r="F33" s="37">
        <v>95.203195980469019</v>
      </c>
      <c r="G33" s="38">
        <v>89.567730419425217</v>
      </c>
      <c r="H33" s="37">
        <v>90.418669663685392</v>
      </c>
      <c r="I33" s="37">
        <v>94.048147483543147</v>
      </c>
    </row>
    <row r="34" spans="1:9" x14ac:dyDescent="0.25">
      <c r="A34" s="39" t="s">
        <v>8</v>
      </c>
      <c r="B34" s="38">
        <v>98.449612403100772</v>
      </c>
      <c r="C34" s="37">
        <v>57.20930232558139</v>
      </c>
      <c r="D34" s="37">
        <v>8.6046511627906987</v>
      </c>
      <c r="E34" s="37">
        <v>17.829457364341085</v>
      </c>
      <c r="F34" s="37">
        <v>99.844961240310084</v>
      </c>
      <c r="G34" s="38">
        <v>98.217054263565899</v>
      </c>
      <c r="H34" s="37">
        <v>93.100775193798441</v>
      </c>
      <c r="I34" s="37">
        <v>94.651162790697668</v>
      </c>
    </row>
    <row r="35" spans="1:9" x14ac:dyDescent="0.25">
      <c r="A35" s="39" t="s">
        <v>7</v>
      </c>
      <c r="B35" s="38">
        <v>100</v>
      </c>
      <c r="C35" s="37">
        <v>54.349810657289702</v>
      </c>
      <c r="D35" s="37">
        <v>26.102245063565054</v>
      </c>
      <c r="E35" s="37">
        <v>62.860089261563431</v>
      </c>
      <c r="F35" s="37">
        <v>92.167635921017038</v>
      </c>
      <c r="G35" s="38">
        <v>94.667974032999723</v>
      </c>
      <c r="H35" s="37">
        <v>97.28834189883689</v>
      </c>
      <c r="I35" s="37">
        <v>93.562347849607789</v>
      </c>
    </row>
    <row r="36" spans="1:9" x14ac:dyDescent="0.25">
      <c r="A36" s="39" t="s">
        <v>6</v>
      </c>
      <c r="B36" s="38">
        <v>89.330657537480818</v>
      </c>
      <c r="C36" s="37">
        <v>32.728131271396528</v>
      </c>
      <c r="D36" s="37">
        <v>2.7033408098217446</v>
      </c>
      <c r="E36" s="37">
        <v>38.651871089599808</v>
      </c>
      <c r="F36" s="37">
        <v>93.703222760004721</v>
      </c>
      <c r="G36" s="38">
        <v>87.989611616101996</v>
      </c>
      <c r="H36" s="37">
        <v>94.985243772872153</v>
      </c>
      <c r="I36" s="37">
        <v>84.967536300318741</v>
      </c>
    </row>
    <row r="37" spans="1:9" x14ac:dyDescent="0.25">
      <c r="A37" s="39" t="s">
        <v>5</v>
      </c>
      <c r="B37" s="38">
        <v>34.277047522750252</v>
      </c>
      <c r="C37" s="37">
        <v>14.823053589484328</v>
      </c>
      <c r="D37" s="37">
        <v>5.7836198179979776</v>
      </c>
      <c r="E37" s="37">
        <v>50.53589484327604</v>
      </c>
      <c r="F37" s="37">
        <v>79.959555106167841</v>
      </c>
      <c r="G37" s="38">
        <v>88.210313447927206</v>
      </c>
      <c r="H37" s="37">
        <v>87.927199191102119</v>
      </c>
      <c r="I37" s="37">
        <v>79.534883720930225</v>
      </c>
    </row>
    <row r="38" spans="1:9" x14ac:dyDescent="0.25">
      <c r="A38" s="39" t="s">
        <v>4</v>
      </c>
      <c r="B38" s="38">
        <v>66.161728914670519</v>
      </c>
      <c r="C38" s="37">
        <v>12.529873552070562</v>
      </c>
      <c r="D38" s="37">
        <v>10.463520412831445</v>
      </c>
      <c r="E38" s="37">
        <v>66.219188610536719</v>
      </c>
      <c r="F38" s="37">
        <v>96.805314106904319</v>
      </c>
      <c r="G38" s="38">
        <v>94.325031566234202</v>
      </c>
      <c r="H38" s="37">
        <v>95.052976375647333</v>
      </c>
      <c r="I38" s="37">
        <v>83.341446008015069</v>
      </c>
    </row>
    <row r="39" spans="1:9" x14ac:dyDescent="0.25">
      <c r="A39" s="39" t="s">
        <v>3</v>
      </c>
      <c r="B39" s="38">
        <v>81.747951950422348</v>
      </c>
      <c r="C39" s="37">
        <v>33.537077125514664</v>
      </c>
      <c r="D39" s="37">
        <v>4.0027165838957508</v>
      </c>
      <c r="E39" s="37">
        <v>54.764633473407187</v>
      </c>
      <c r="F39" s="37">
        <v>93.692431767052938</v>
      </c>
      <c r="G39" s="38">
        <v>93.87919690988582</v>
      </c>
      <c r="H39" s="37">
        <v>94.800288637038918</v>
      </c>
      <c r="I39" s="37">
        <v>92.465724351627827</v>
      </c>
    </row>
    <row r="40" spans="1:9" x14ac:dyDescent="0.25">
      <c r="A40" s="39" t="s">
        <v>2</v>
      </c>
      <c r="B40" s="38">
        <v>89.068569325755405</v>
      </c>
      <c r="C40" s="37">
        <v>11.514085946763707</v>
      </c>
      <c r="D40" s="37">
        <v>25.614343541726299</v>
      </c>
      <c r="E40" s="37">
        <v>68.537637486200268</v>
      </c>
      <c r="F40" s="37">
        <v>96.165719425931229</v>
      </c>
      <c r="G40" s="38">
        <v>95.594308377969497</v>
      </c>
      <c r="H40" s="37">
        <v>97.722533426013001</v>
      </c>
      <c r="I40" s="37">
        <v>90.692848673181501</v>
      </c>
    </row>
    <row r="41" spans="1:9" x14ac:dyDescent="0.25">
      <c r="A41" s="39" t="s">
        <v>528</v>
      </c>
      <c r="B41" s="38">
        <v>73.856802063185043</v>
      </c>
      <c r="C41" s="37">
        <v>32.655254674403608</v>
      </c>
      <c r="D41" s="37">
        <v>17.539845261121854</v>
      </c>
      <c r="E41" s="37">
        <v>63.707092198581563</v>
      </c>
      <c r="F41" s="37">
        <v>95.684848484848487</v>
      </c>
      <c r="G41" s="38">
        <v>92.62624113475178</v>
      </c>
      <c r="H41" s="37">
        <v>94.383558994197287</v>
      </c>
      <c r="I41" s="37">
        <v>88.183623468729849</v>
      </c>
    </row>
    <row r="42" spans="1:9" x14ac:dyDescent="0.25">
      <c r="A42" s="52" t="s">
        <v>0</v>
      </c>
      <c r="B42" s="52"/>
      <c r="C42" s="52"/>
      <c r="D42" s="52"/>
      <c r="E42" s="52"/>
      <c r="F42" s="52"/>
      <c r="G42" s="52"/>
      <c r="H42" s="52"/>
      <c r="I42" s="52"/>
    </row>
  </sheetData>
  <mergeCells count="11">
    <mergeCell ref="I3:I4"/>
    <mergeCell ref="J5:M5"/>
    <mergeCell ref="A42:I42"/>
    <mergeCell ref="A1:I1"/>
    <mergeCell ref="A2:A4"/>
    <mergeCell ref="B2:I2"/>
    <mergeCell ref="B3:B4"/>
    <mergeCell ref="C3:C4"/>
    <mergeCell ref="D3:E3"/>
    <mergeCell ref="F3:F4"/>
    <mergeCell ref="G3:H3"/>
  </mergeCells>
  <hyperlinks>
    <hyperlink ref="J5:M5" location="'SDG 4 - Index'!A1" display="Return to Index Page" xr:uid="{159C5395-0982-4DC8-A970-9395F2B15E03}"/>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FD9F-C976-44C6-A700-63791C678ED1}">
  <sheetPr codeName="Sheet22"/>
  <dimension ref="A1:M42"/>
  <sheetViews>
    <sheetView topLeftCell="D1" workbookViewId="0">
      <selection activeCell="J5" sqref="J5:M5"/>
    </sheetView>
  </sheetViews>
  <sheetFormatPr defaultColWidth="9.140625" defaultRowHeight="16.5" x14ac:dyDescent="0.25"/>
  <cols>
    <col min="1" max="1" width="28.7109375" style="35" customWidth="1"/>
    <col min="2" max="2" width="16.42578125" style="35" bestFit="1" customWidth="1"/>
    <col min="3" max="3" width="26.5703125" style="35" customWidth="1"/>
    <col min="4" max="4" width="14.85546875" style="35" customWidth="1"/>
    <col min="5" max="5" width="13.42578125" style="35" customWidth="1"/>
    <col min="6" max="6" width="19.7109375" style="35" customWidth="1"/>
    <col min="7" max="8" width="9.140625" style="35"/>
    <col min="9" max="9" width="26.5703125" style="35" customWidth="1"/>
    <col min="10" max="16384" width="9.140625" style="35"/>
  </cols>
  <sheetData>
    <row r="1" spans="1:13" ht="42.75" customHeight="1" x14ac:dyDescent="0.25">
      <c r="A1" s="49" t="s">
        <v>539</v>
      </c>
      <c r="B1" s="49"/>
      <c r="C1" s="49"/>
      <c r="D1" s="49"/>
      <c r="E1" s="49"/>
      <c r="F1" s="49"/>
      <c r="G1" s="49"/>
      <c r="H1" s="49"/>
      <c r="I1" s="49"/>
    </row>
    <row r="2" spans="1:13" x14ac:dyDescent="0.25">
      <c r="A2" s="49" t="s">
        <v>56</v>
      </c>
      <c r="B2" s="49" t="s">
        <v>515</v>
      </c>
      <c r="C2" s="49"/>
      <c r="D2" s="49"/>
      <c r="E2" s="49"/>
      <c r="F2" s="49"/>
      <c r="G2" s="49"/>
      <c r="H2" s="49"/>
      <c r="I2" s="49"/>
    </row>
    <row r="3" spans="1:13" ht="80.25" customHeight="1" x14ac:dyDescent="0.25">
      <c r="A3" s="49"/>
      <c r="B3" s="49" t="s">
        <v>538</v>
      </c>
      <c r="C3" s="49" t="s">
        <v>537</v>
      </c>
      <c r="D3" s="49" t="s">
        <v>536</v>
      </c>
      <c r="E3" s="49"/>
      <c r="F3" s="49" t="s">
        <v>535</v>
      </c>
      <c r="G3" s="49" t="s">
        <v>534</v>
      </c>
      <c r="H3" s="49"/>
      <c r="I3" s="49" t="s">
        <v>533</v>
      </c>
    </row>
    <row r="4" spans="1:13" x14ac:dyDescent="0.25">
      <c r="A4" s="49"/>
      <c r="B4" s="49"/>
      <c r="C4" s="49"/>
      <c r="D4" s="40" t="s">
        <v>532</v>
      </c>
      <c r="E4" s="40" t="s">
        <v>531</v>
      </c>
      <c r="F4" s="49"/>
      <c r="G4" s="40" t="s">
        <v>530</v>
      </c>
      <c r="H4" s="40" t="s">
        <v>529</v>
      </c>
      <c r="I4" s="49"/>
    </row>
    <row r="5" spans="1:13" x14ac:dyDescent="0.25">
      <c r="A5" s="39" t="s">
        <v>50</v>
      </c>
      <c r="B5" s="38">
        <v>89.68824940047962</v>
      </c>
      <c r="C5" s="37">
        <v>59.47242206235012</v>
      </c>
      <c r="D5" s="37">
        <v>5.755395683453238</v>
      </c>
      <c r="E5" s="37">
        <v>32.134292565947241</v>
      </c>
      <c r="F5" s="37">
        <v>98.081534772182252</v>
      </c>
      <c r="G5" s="38">
        <v>99.760191846522787</v>
      </c>
      <c r="H5" s="37">
        <v>100</v>
      </c>
      <c r="I5" s="37">
        <v>0</v>
      </c>
      <c r="J5" s="50" t="s">
        <v>49</v>
      </c>
      <c r="K5" s="51"/>
      <c r="L5" s="51"/>
      <c r="M5" s="51"/>
    </row>
    <row r="6" spans="1:13" x14ac:dyDescent="0.25">
      <c r="A6" s="39" t="s">
        <v>48</v>
      </c>
      <c r="B6" s="38">
        <v>92.797762167428857</v>
      </c>
      <c r="C6" s="37">
        <v>33.231185076925499</v>
      </c>
      <c r="D6" s="37">
        <v>0</v>
      </c>
      <c r="E6" s="37">
        <v>32.426571118759135</v>
      </c>
      <c r="F6" s="37">
        <v>84.077444093473503</v>
      </c>
      <c r="G6" s="38">
        <v>79.963226627693174</v>
      </c>
      <c r="H6" s="37">
        <v>94.847013342133806</v>
      </c>
      <c r="I6" s="37">
        <v>50.146936338063583</v>
      </c>
    </row>
    <row r="7" spans="1:13" x14ac:dyDescent="0.25">
      <c r="A7" s="39" t="s">
        <v>47</v>
      </c>
      <c r="B7" s="38">
        <v>37.503078059591232</v>
      </c>
      <c r="C7" s="37">
        <v>26.225067717311006</v>
      </c>
      <c r="D7" s="37">
        <v>1.354346220142822</v>
      </c>
      <c r="E7" s="37">
        <v>23.073134695887713</v>
      </c>
      <c r="F7" s="37">
        <v>59.960600837232214</v>
      </c>
      <c r="G7" s="38">
        <v>92.883526225067712</v>
      </c>
      <c r="H7" s="37">
        <v>95.345973898054666</v>
      </c>
      <c r="I7" s="37">
        <v>26.791430682098007</v>
      </c>
    </row>
    <row r="8" spans="1:13" x14ac:dyDescent="0.25">
      <c r="A8" s="39" t="s">
        <v>46</v>
      </c>
      <c r="B8" s="38">
        <v>24.277233939324752</v>
      </c>
      <c r="C8" s="37">
        <v>11.87961985216473</v>
      </c>
      <c r="D8" s="37">
        <v>16.089214874853734</v>
      </c>
      <c r="E8" s="37">
        <v>54.646251319957763</v>
      </c>
      <c r="F8" s="37">
        <v>75.420246011587082</v>
      </c>
      <c r="G8" s="38">
        <v>78.733696737920596</v>
      </c>
      <c r="H8" s="37">
        <v>83.482690716059253</v>
      </c>
      <c r="I8" s="37">
        <v>48.708581865920827</v>
      </c>
    </row>
    <row r="9" spans="1:13" x14ac:dyDescent="0.25">
      <c r="A9" s="39" t="s">
        <v>45</v>
      </c>
      <c r="B9" s="38">
        <v>45.81732458377251</v>
      </c>
      <c r="C9" s="37">
        <v>13.351013793025285</v>
      </c>
      <c r="D9" s="37">
        <v>5.5183434769303998</v>
      </c>
      <c r="E9" s="37">
        <v>63.88539435358652</v>
      </c>
      <c r="F9" s="37">
        <v>86.426847098024552</v>
      </c>
      <c r="G9" s="38">
        <v>88.024888647104831</v>
      </c>
      <c r="H9" s="37">
        <v>90.139743633334461</v>
      </c>
      <c r="I9" s="37">
        <v>40.634456495868889</v>
      </c>
    </row>
    <row r="10" spans="1:13" x14ac:dyDescent="0.25">
      <c r="A10" s="39" t="s">
        <v>44</v>
      </c>
      <c r="B10" s="38">
        <v>100</v>
      </c>
      <c r="C10" s="37">
        <v>96.444444444444443</v>
      </c>
      <c r="D10" s="37">
        <v>27.555555555555557</v>
      </c>
      <c r="E10" s="37">
        <v>88</v>
      </c>
      <c r="F10" s="37">
        <v>100</v>
      </c>
      <c r="G10" s="38">
        <v>98.666666666666671</v>
      </c>
      <c r="H10" s="37">
        <v>99.555555555555557</v>
      </c>
      <c r="I10" s="37">
        <v>100</v>
      </c>
    </row>
    <row r="11" spans="1:13" x14ac:dyDescent="0.25">
      <c r="A11" s="39" t="s">
        <v>41</v>
      </c>
      <c r="B11" s="38">
        <v>68.122798904343497</v>
      </c>
      <c r="C11" s="37">
        <v>14.85895201166803</v>
      </c>
      <c r="D11" s="37">
        <v>17.170368788267123</v>
      </c>
      <c r="E11" s="37">
        <v>63.930489843833371</v>
      </c>
      <c r="F11" s="37">
        <v>86.327416313898482</v>
      </c>
      <c r="G11" s="38">
        <v>94.688911813880679</v>
      </c>
      <c r="H11" s="37">
        <v>95.140692255700614</v>
      </c>
      <c r="I11" s="37">
        <v>54.702785386503507</v>
      </c>
    </row>
    <row r="12" spans="1:13" x14ac:dyDescent="0.25">
      <c r="A12" s="39" t="s">
        <v>38</v>
      </c>
      <c r="B12" s="38">
        <v>100</v>
      </c>
      <c r="C12" s="37">
        <v>82.369942196531781</v>
      </c>
      <c r="D12" s="37">
        <v>30.924855491329478</v>
      </c>
      <c r="E12" s="37">
        <v>78.612716763005778</v>
      </c>
      <c r="F12" s="37">
        <v>99.421965317919074</v>
      </c>
      <c r="G12" s="38">
        <v>99.710982658959537</v>
      </c>
      <c r="H12" s="37">
        <v>100</v>
      </c>
      <c r="I12" s="37">
        <v>0</v>
      </c>
    </row>
    <row r="13" spans="1:13" x14ac:dyDescent="0.25">
      <c r="A13" s="39" t="s">
        <v>37</v>
      </c>
      <c r="B13" s="38">
        <v>98.6013986013986</v>
      </c>
      <c r="C13" s="37">
        <v>86.013986013986013</v>
      </c>
      <c r="D13" s="37">
        <v>8.3916083916083917</v>
      </c>
      <c r="E13" s="37">
        <v>74.12587412587412</v>
      </c>
      <c r="F13" s="37">
        <v>95.104895104895107</v>
      </c>
      <c r="G13" s="38">
        <v>97.2027972027972</v>
      </c>
      <c r="H13" s="37">
        <v>97.902097902097907</v>
      </c>
      <c r="I13" s="37">
        <v>86.013986013986013</v>
      </c>
    </row>
    <row r="14" spans="1:13" x14ac:dyDescent="0.25">
      <c r="A14" s="39" t="s">
        <v>36</v>
      </c>
      <c r="B14" s="38">
        <v>99.930106587454134</v>
      </c>
      <c r="C14" s="37">
        <v>90.459549187489074</v>
      </c>
      <c r="D14" s="37">
        <v>71.186440677966104</v>
      </c>
      <c r="E14" s="37">
        <v>74.121964004892533</v>
      </c>
      <c r="F14" s="37">
        <v>100</v>
      </c>
      <c r="G14" s="38">
        <v>88.153066573475442</v>
      </c>
      <c r="H14" s="37">
        <v>83.225580988991794</v>
      </c>
      <c r="I14" s="37">
        <v>99.440852699633069</v>
      </c>
    </row>
    <row r="15" spans="1:13" x14ac:dyDescent="0.25">
      <c r="A15" s="39" t="s">
        <v>35</v>
      </c>
      <c r="B15" s="38">
        <v>99.540983606557376</v>
      </c>
      <c r="C15" s="37">
        <v>48.590163934426229</v>
      </c>
      <c r="D15" s="37">
        <v>2.622950819672131</v>
      </c>
      <c r="E15" s="37">
        <v>51.344262295081968</v>
      </c>
      <c r="F15" s="37">
        <v>100</v>
      </c>
      <c r="G15" s="38">
        <v>99.344262295081961</v>
      </c>
      <c r="H15" s="37">
        <v>99.278688524590166</v>
      </c>
      <c r="I15" s="37">
        <v>91.606557377049185</v>
      </c>
    </row>
    <row r="16" spans="1:13" x14ac:dyDescent="0.25">
      <c r="A16" s="39" t="s">
        <v>34</v>
      </c>
      <c r="B16" s="38">
        <v>99.905801518257888</v>
      </c>
      <c r="C16" s="37">
        <v>73.096174802829651</v>
      </c>
      <c r="D16" s="37">
        <v>13.73450804381153</v>
      </c>
      <c r="E16" s="37">
        <v>81.014388356328851</v>
      </c>
      <c r="F16" s="37">
        <v>99.975988622301031</v>
      </c>
      <c r="G16" s="38">
        <v>96.970872351822095</v>
      </c>
      <c r="H16" s="37">
        <v>97.99412644760902</v>
      </c>
      <c r="I16" s="37">
        <v>74.378012966143956</v>
      </c>
    </row>
    <row r="17" spans="1:9" x14ac:dyDescent="0.25">
      <c r="A17" s="39" t="s">
        <v>33</v>
      </c>
      <c r="B17" s="38">
        <v>97.520981278244022</v>
      </c>
      <c r="C17" s="37">
        <v>50.776845276522486</v>
      </c>
      <c r="D17" s="37">
        <v>10.29481385840327</v>
      </c>
      <c r="E17" s="37">
        <v>63.580804820314185</v>
      </c>
      <c r="F17" s="37">
        <v>99.694426511727997</v>
      </c>
      <c r="G17" s="38">
        <v>93.638906821605332</v>
      </c>
      <c r="H17" s="37">
        <v>96.38906821605336</v>
      </c>
      <c r="I17" s="37">
        <v>87.006670970518613</v>
      </c>
    </row>
    <row r="18" spans="1:9" x14ac:dyDescent="0.25">
      <c r="A18" s="39" t="s">
        <v>32</v>
      </c>
      <c r="B18" s="38">
        <v>92.085269199234759</v>
      </c>
      <c r="C18" s="37">
        <v>28.707297075703742</v>
      </c>
      <c r="D18" s="37">
        <v>3.5036895326591968</v>
      </c>
      <c r="E18" s="37">
        <v>76.0481005739273</v>
      </c>
      <c r="F18" s="37">
        <v>99.163705930582125</v>
      </c>
      <c r="G18" s="38">
        <v>99.458868543317848</v>
      </c>
      <c r="H18" s="37">
        <v>99.74309920743373</v>
      </c>
      <c r="I18" s="37">
        <v>71.429352282044277</v>
      </c>
    </row>
    <row r="19" spans="1:9" x14ac:dyDescent="0.25">
      <c r="A19" s="39" t="s">
        <v>31</v>
      </c>
      <c r="B19" s="38">
        <v>36.625191750468723</v>
      </c>
      <c r="C19" s="37">
        <v>20.886313277654679</v>
      </c>
      <c r="D19" s="37">
        <v>0.84540651099369346</v>
      </c>
      <c r="E19" s="37">
        <v>23.913414010567582</v>
      </c>
      <c r="F19" s="37">
        <v>80.119311402761213</v>
      </c>
      <c r="G19" s="38">
        <v>93.137889892619739</v>
      </c>
      <c r="H19" s="37">
        <v>95.977501278336462</v>
      </c>
      <c r="I19" s="37">
        <v>50.100562468041588</v>
      </c>
    </row>
    <row r="20" spans="1:9" x14ac:dyDescent="0.25">
      <c r="A20" s="39" t="s">
        <v>30</v>
      </c>
      <c r="B20" s="38">
        <v>47.456087219866752</v>
      </c>
      <c r="C20" s="37">
        <v>15.352311730264487</v>
      </c>
      <c r="D20" s="37">
        <v>2.6650514839491217</v>
      </c>
      <c r="E20" s="37">
        <v>59.123763375731876</v>
      </c>
      <c r="F20" s="37">
        <v>93.908742176458716</v>
      </c>
      <c r="G20" s="38">
        <v>96.452654956591971</v>
      </c>
      <c r="H20" s="37">
        <v>97.649909145972131</v>
      </c>
      <c r="I20" s="37">
        <v>40.436099333737133</v>
      </c>
    </row>
    <row r="21" spans="1:9" x14ac:dyDescent="0.25">
      <c r="A21" s="39" t="s">
        <v>29</v>
      </c>
      <c r="B21" s="38">
        <v>93.422076911100731</v>
      </c>
      <c r="C21" s="37">
        <v>40.252478073589707</v>
      </c>
      <c r="D21" s="37">
        <v>0.91597903368104205</v>
      </c>
      <c r="E21" s="37">
        <v>48.091494109709899</v>
      </c>
      <c r="F21" s="37">
        <v>94.321189475323052</v>
      </c>
      <c r="G21" s="38">
        <v>93.349421350355485</v>
      </c>
      <c r="H21" s="37">
        <v>94.868701022367532</v>
      </c>
      <c r="I21" s="37">
        <v>49.627640251180658</v>
      </c>
    </row>
    <row r="22" spans="1:9" x14ac:dyDescent="0.25">
      <c r="A22" s="39" t="s">
        <v>28</v>
      </c>
      <c r="B22" s="38">
        <v>96.914124493034734</v>
      </c>
      <c r="C22" s="37">
        <v>96.102980074061023</v>
      </c>
      <c r="D22" s="37">
        <v>5.4664080409098927</v>
      </c>
      <c r="E22" s="37">
        <v>63.727737612414039</v>
      </c>
      <c r="F22" s="37">
        <v>97.172750249808971</v>
      </c>
      <c r="G22" s="38">
        <v>97.413742432257692</v>
      </c>
      <c r="H22" s="37">
        <v>99.212367013460295</v>
      </c>
      <c r="I22" s="37">
        <v>78.598718626932353</v>
      </c>
    </row>
    <row r="23" spans="1:9" x14ac:dyDescent="0.25">
      <c r="A23" s="39" t="s">
        <v>27</v>
      </c>
      <c r="B23" s="38">
        <v>100</v>
      </c>
      <c r="C23" s="37">
        <v>100</v>
      </c>
      <c r="D23" s="37">
        <v>0</v>
      </c>
      <c r="E23" s="37">
        <v>62.222222222222221</v>
      </c>
      <c r="F23" s="37">
        <v>100</v>
      </c>
      <c r="G23" s="38">
        <v>100</v>
      </c>
      <c r="H23" s="37">
        <v>100</v>
      </c>
      <c r="I23" s="37">
        <v>91.111111111111114</v>
      </c>
    </row>
    <row r="24" spans="1:9" x14ac:dyDescent="0.25">
      <c r="A24" s="39" t="s">
        <v>26</v>
      </c>
      <c r="B24" s="38">
        <v>32.576354391150637</v>
      </c>
      <c r="C24" s="37">
        <v>18.130383546125149</v>
      </c>
      <c r="D24" s="37">
        <v>4.7176629143255226</v>
      </c>
      <c r="E24" s="37">
        <v>68.773967563625945</v>
      </c>
      <c r="F24" s="37">
        <v>86.584024011510934</v>
      </c>
      <c r="G24" s="38">
        <v>94.797940010286936</v>
      </c>
      <c r="H24" s="37">
        <v>96.141100180346768</v>
      </c>
      <c r="I24" s="37">
        <v>54.03566568788942</v>
      </c>
    </row>
    <row r="25" spans="1:9" x14ac:dyDescent="0.25">
      <c r="A25" s="39" t="s">
        <v>25</v>
      </c>
      <c r="B25" s="38">
        <v>85.826043602411275</v>
      </c>
      <c r="C25" s="37">
        <v>69.000589221774007</v>
      </c>
      <c r="D25" s="37">
        <v>8.8609889860853013</v>
      </c>
      <c r="E25" s="37">
        <v>86.298327516656855</v>
      </c>
      <c r="F25" s="37">
        <v>96.940579250328611</v>
      </c>
      <c r="G25" s="38">
        <v>96.965054616325972</v>
      </c>
      <c r="H25" s="37">
        <v>98.17069301545574</v>
      </c>
      <c r="I25" s="37">
        <v>86.502288899968278</v>
      </c>
    </row>
    <row r="26" spans="1:9" x14ac:dyDescent="0.25">
      <c r="A26" s="39" t="s">
        <v>24</v>
      </c>
      <c r="B26" s="38">
        <v>42.082294264339154</v>
      </c>
      <c r="C26" s="37">
        <v>30.423940149625935</v>
      </c>
      <c r="D26" s="37">
        <v>1.974231088944306</v>
      </c>
      <c r="E26" s="37">
        <v>43.994181213632579</v>
      </c>
      <c r="F26" s="37">
        <v>75.768911055694105</v>
      </c>
      <c r="G26" s="38">
        <v>96.363258520365761</v>
      </c>
      <c r="H26" s="37">
        <v>97.256857855361602</v>
      </c>
      <c r="I26" s="37">
        <v>40.606816292601827</v>
      </c>
    </row>
    <row r="27" spans="1:9" x14ac:dyDescent="0.25">
      <c r="A27" s="39" t="s">
        <v>17</v>
      </c>
      <c r="B27" s="38">
        <v>26.343648208469055</v>
      </c>
      <c r="C27" s="37">
        <v>14.182953311617808</v>
      </c>
      <c r="D27" s="37">
        <v>0.39359391965255158</v>
      </c>
      <c r="E27" s="37">
        <v>34.045874049945709</v>
      </c>
      <c r="F27" s="37">
        <v>47.787730727470141</v>
      </c>
      <c r="G27" s="38">
        <v>85.993485342019554</v>
      </c>
      <c r="H27" s="37">
        <v>83.59799131378935</v>
      </c>
      <c r="I27" s="37">
        <v>14.060803474484256</v>
      </c>
    </row>
    <row r="28" spans="1:9" x14ac:dyDescent="0.25">
      <c r="A28" s="39" t="s">
        <v>14</v>
      </c>
      <c r="B28" s="38">
        <v>69.660627711150795</v>
      </c>
      <c r="C28" s="37">
        <v>39.040571574381225</v>
      </c>
      <c r="D28" s="37">
        <v>7.578463893850472</v>
      </c>
      <c r="E28" s="37">
        <v>43.480479714212812</v>
      </c>
      <c r="F28" s="37">
        <v>81.474866037254401</v>
      </c>
      <c r="G28" s="38">
        <v>98.00969635110998</v>
      </c>
      <c r="H28" s="37">
        <v>98.468997193161528</v>
      </c>
      <c r="I28" s="37">
        <v>34.217912732840013</v>
      </c>
    </row>
    <row r="29" spans="1:9" x14ac:dyDescent="0.25">
      <c r="A29" s="39" t="s">
        <v>13</v>
      </c>
      <c r="B29" s="38">
        <v>55.336386051426558</v>
      </c>
      <c r="C29" s="37">
        <v>44.804508629799223</v>
      </c>
      <c r="D29" s="37">
        <v>2.6769989432898909</v>
      </c>
      <c r="E29" s="37">
        <v>30.679816836914409</v>
      </c>
      <c r="F29" s="37">
        <v>62.768580486086648</v>
      </c>
      <c r="G29" s="38">
        <v>97.393448397322999</v>
      </c>
      <c r="H29" s="37">
        <v>96.442409299048961</v>
      </c>
      <c r="I29" s="37">
        <v>24.410003522367031</v>
      </c>
    </row>
    <row r="30" spans="1:9" x14ac:dyDescent="0.25">
      <c r="A30" s="39" t="s">
        <v>12</v>
      </c>
      <c r="B30" s="38">
        <v>36.504450352560397</v>
      </c>
      <c r="C30" s="37">
        <v>17.437290486648944</v>
      </c>
      <c r="D30" s="37">
        <v>9.2112297533557772</v>
      </c>
      <c r="E30" s="37">
        <v>67.969020922436712</v>
      </c>
      <c r="F30" s="37">
        <v>98.706796902092236</v>
      </c>
      <c r="G30" s="38">
        <v>95.108946942550006</v>
      </c>
      <c r="H30" s="37">
        <v>98.092706045543864</v>
      </c>
      <c r="I30" s="37">
        <v>50.868396717142531</v>
      </c>
    </row>
    <row r="31" spans="1:9" x14ac:dyDescent="0.25">
      <c r="A31" s="39" t="s">
        <v>11</v>
      </c>
      <c r="B31" s="38">
        <v>99.863574351978173</v>
      </c>
      <c r="C31" s="37">
        <v>98.635743519781713</v>
      </c>
      <c r="D31" s="37">
        <v>13.915416098226466</v>
      </c>
      <c r="E31" s="37">
        <v>63.301500682128243</v>
      </c>
      <c r="F31" s="37">
        <v>100</v>
      </c>
      <c r="G31" s="38">
        <v>95.49795361527967</v>
      </c>
      <c r="H31" s="37">
        <v>96.862210095497957</v>
      </c>
      <c r="I31" s="37">
        <v>88.813096862210088</v>
      </c>
    </row>
    <row r="32" spans="1:9" x14ac:dyDescent="0.25">
      <c r="A32" s="39" t="s">
        <v>10</v>
      </c>
      <c r="B32" s="38">
        <v>99.547120237848304</v>
      </c>
      <c r="C32" s="37">
        <v>75.983544216276016</v>
      </c>
      <c r="D32" s="37">
        <v>23.681117333886469</v>
      </c>
      <c r="E32" s="37">
        <v>61.97538546636244</v>
      </c>
      <c r="F32" s="37">
        <v>98.793473000069142</v>
      </c>
      <c r="G32" s="38">
        <v>92.726267026204795</v>
      </c>
      <c r="H32" s="37">
        <v>95.350203968747834</v>
      </c>
      <c r="I32" s="37">
        <v>96.494503215100607</v>
      </c>
    </row>
    <row r="33" spans="1:9" x14ac:dyDescent="0.25">
      <c r="A33" s="39" t="s">
        <v>9</v>
      </c>
      <c r="B33" s="38">
        <v>64.023731447959506</v>
      </c>
      <c r="C33" s="37">
        <v>35.387721060712323</v>
      </c>
      <c r="D33" s="37">
        <v>6.3887256667361685</v>
      </c>
      <c r="E33" s="37">
        <v>54.739655401178986</v>
      </c>
      <c r="F33" s="37">
        <v>89.005250488086887</v>
      </c>
      <c r="G33" s="38">
        <v>98.460867752146626</v>
      </c>
      <c r="H33" s="37">
        <v>99.228538393009458</v>
      </c>
      <c r="I33" s="37">
        <v>67.024281138048039</v>
      </c>
    </row>
    <row r="34" spans="1:9" x14ac:dyDescent="0.25">
      <c r="A34" s="39" t="s">
        <v>8</v>
      </c>
      <c r="B34" s="38">
        <v>87.07692307692308</v>
      </c>
      <c r="C34" s="37">
        <v>64.692307692307693</v>
      </c>
      <c r="D34" s="37">
        <v>5.3076923076923075</v>
      </c>
      <c r="E34" s="37">
        <v>19.230769230769234</v>
      </c>
      <c r="F34" s="37">
        <v>90.230769230769226</v>
      </c>
      <c r="G34" s="38">
        <v>99.15384615384616</v>
      </c>
      <c r="H34" s="37">
        <v>93.84615384615384</v>
      </c>
      <c r="I34" s="37">
        <v>67.615384615384613</v>
      </c>
    </row>
    <row r="35" spans="1:9" x14ac:dyDescent="0.25">
      <c r="A35" s="39" t="s">
        <v>7</v>
      </c>
      <c r="B35" s="38">
        <v>99.548517289735599</v>
      </c>
      <c r="C35" s="37">
        <v>58.932174983753463</v>
      </c>
      <c r="D35" s="37">
        <v>8.2378493005438322</v>
      </c>
      <c r="E35" s="37">
        <v>70.379997947805862</v>
      </c>
      <c r="F35" s="37">
        <v>98.315490645415053</v>
      </c>
      <c r="G35" s="38">
        <v>97.79218114033587</v>
      </c>
      <c r="H35" s="37">
        <v>98.806307076649446</v>
      </c>
      <c r="I35" s="37">
        <v>80.902623388172529</v>
      </c>
    </row>
    <row r="36" spans="1:9" x14ac:dyDescent="0.25">
      <c r="A36" s="39" t="s">
        <v>6</v>
      </c>
      <c r="B36" s="38">
        <v>89.886538730914694</v>
      </c>
      <c r="C36" s="37">
        <v>37.640659289349578</v>
      </c>
      <c r="D36" s="37">
        <v>7.4963813792781444</v>
      </c>
      <c r="E36" s="37">
        <v>33.452397628052481</v>
      </c>
      <c r="F36" s="37">
        <v>95.020310967922683</v>
      </c>
      <c r="G36" s="38">
        <v>91.891954989027411</v>
      </c>
      <c r="H36" s="37">
        <v>96.752579726385576</v>
      </c>
      <c r="I36" s="37">
        <v>53.119017602838866</v>
      </c>
    </row>
    <row r="37" spans="1:9" x14ac:dyDescent="0.25">
      <c r="A37" s="39" t="s">
        <v>5</v>
      </c>
      <c r="B37" s="38">
        <v>31.107954545454547</v>
      </c>
      <c r="C37" s="37">
        <v>17.613636363636363</v>
      </c>
      <c r="D37" s="37">
        <v>3.4496753246753249</v>
      </c>
      <c r="E37" s="37">
        <v>49.350649350649348</v>
      </c>
      <c r="F37" s="37">
        <v>76.927759740259745</v>
      </c>
      <c r="G37" s="38">
        <v>99.066558441558442</v>
      </c>
      <c r="H37" s="37">
        <v>99.025974025974023</v>
      </c>
      <c r="I37" s="37">
        <v>40.767045454545453</v>
      </c>
    </row>
    <row r="38" spans="1:9" x14ac:dyDescent="0.25">
      <c r="A38" s="39" t="s">
        <v>4</v>
      </c>
      <c r="B38" s="38">
        <v>44.760358318258106</v>
      </c>
      <c r="C38" s="37">
        <v>19.131376096132747</v>
      </c>
      <c r="D38" s="37">
        <v>10.552661595576964</v>
      </c>
      <c r="E38" s="37">
        <v>69.471386122069418</v>
      </c>
      <c r="F38" s="37">
        <v>87.849363934235669</v>
      </c>
      <c r="G38" s="38">
        <v>97.583967219546224</v>
      </c>
      <c r="H38" s="37">
        <v>98.298860094592527</v>
      </c>
      <c r="I38" s="37">
        <v>49.320706465276118</v>
      </c>
    </row>
    <row r="39" spans="1:9" x14ac:dyDescent="0.25">
      <c r="A39" s="39" t="s">
        <v>3</v>
      </c>
      <c r="B39" s="38">
        <v>75.277056812095751</v>
      </c>
      <c r="C39" s="37">
        <v>37.675606641123885</v>
      </c>
      <c r="D39" s="37">
        <v>1.0587896016149632</v>
      </c>
      <c r="E39" s="37">
        <v>50.109174803279366</v>
      </c>
      <c r="F39" s="37">
        <v>84.946236559139791</v>
      </c>
      <c r="G39" s="38">
        <v>94.619536110081157</v>
      </c>
      <c r="H39" s="37">
        <v>95.678325711696118</v>
      </c>
      <c r="I39" s="37">
        <v>55.918098298520988</v>
      </c>
    </row>
    <row r="40" spans="1:9" x14ac:dyDescent="0.25">
      <c r="A40" s="39" t="s">
        <v>2</v>
      </c>
      <c r="B40" s="38">
        <v>85.593116541123166</v>
      </c>
      <c r="C40" s="37">
        <v>15.728662706432321</v>
      </c>
      <c r="D40" s="37">
        <v>6.1250944128033966</v>
      </c>
      <c r="E40" s="37">
        <v>58.775797660603835</v>
      </c>
      <c r="F40" s="37">
        <v>95.782554555290176</v>
      </c>
      <c r="G40" s="38">
        <v>95.247718782534136</v>
      </c>
      <c r="H40" s="37">
        <v>97.399310021025983</v>
      </c>
      <c r="I40" s="37">
        <v>64.44566925919122</v>
      </c>
    </row>
    <row r="41" spans="1:9" x14ac:dyDescent="0.25">
      <c r="A41" s="39" t="s">
        <v>528</v>
      </c>
      <c r="B41" s="38">
        <v>63.056499929439234</v>
      </c>
      <c r="C41" s="37">
        <v>31.25072164419413</v>
      </c>
      <c r="D41" s="37">
        <v>8.0202552692502351</v>
      </c>
      <c r="E41" s="37">
        <v>62.066788971993795</v>
      </c>
      <c r="F41" s="37">
        <v>90.012893376268494</v>
      </c>
      <c r="G41" s="38">
        <v>94.031008249194969</v>
      </c>
      <c r="H41" s="37">
        <v>96.118580573979756</v>
      </c>
      <c r="I41" s="37">
        <v>58.08562228180687</v>
      </c>
    </row>
    <row r="42" spans="1:9" x14ac:dyDescent="0.25">
      <c r="A42" s="52" t="s">
        <v>0</v>
      </c>
      <c r="B42" s="52"/>
      <c r="C42" s="52"/>
      <c r="D42" s="52"/>
      <c r="E42" s="52"/>
      <c r="F42" s="52"/>
      <c r="G42" s="52"/>
      <c r="H42" s="52"/>
      <c r="I42" s="52"/>
    </row>
  </sheetData>
  <mergeCells count="11">
    <mergeCell ref="I3:I4"/>
    <mergeCell ref="J5:M5"/>
    <mergeCell ref="A42:I42"/>
    <mergeCell ref="A1:I1"/>
    <mergeCell ref="A2:A4"/>
    <mergeCell ref="B2:I2"/>
    <mergeCell ref="B3:B4"/>
    <mergeCell ref="C3:C4"/>
    <mergeCell ref="D3:E3"/>
    <mergeCell ref="F3:F4"/>
    <mergeCell ref="G3:H3"/>
  </mergeCells>
  <hyperlinks>
    <hyperlink ref="J5:M5" location="'SDG 4 - Index'!A1" display="Return to Index Page" xr:uid="{C5B6C827-762A-45E0-8854-05B6978B234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903A-6F3A-4385-81F8-FFCE7218DFF6}">
  <sheetPr codeName="Sheet21"/>
  <dimension ref="A1:M42"/>
  <sheetViews>
    <sheetView tabSelected="1" topLeftCell="B1" workbookViewId="0">
      <selection activeCell="J5" sqref="J5:M5"/>
    </sheetView>
  </sheetViews>
  <sheetFormatPr defaultColWidth="9.140625" defaultRowHeight="16.5" x14ac:dyDescent="0.25"/>
  <cols>
    <col min="1" max="1" width="28.7109375" style="35" customWidth="1"/>
    <col min="2" max="2" width="16.42578125" style="35" bestFit="1" customWidth="1"/>
    <col min="3" max="3" width="26.5703125" style="35" customWidth="1"/>
    <col min="4" max="4" width="14.85546875" style="35" customWidth="1"/>
    <col min="5" max="5" width="13.42578125" style="35" customWidth="1"/>
    <col min="6" max="6" width="19.7109375" style="35" customWidth="1"/>
    <col min="7" max="8" width="9.140625" style="35"/>
    <col min="9" max="9" width="26.5703125" style="35" customWidth="1"/>
    <col min="10" max="16384" width="9.140625" style="35"/>
  </cols>
  <sheetData>
    <row r="1" spans="1:13" ht="42.75" customHeight="1" x14ac:dyDescent="0.25">
      <c r="A1" s="49" t="s">
        <v>539</v>
      </c>
      <c r="B1" s="49"/>
      <c r="C1" s="49"/>
      <c r="D1" s="49"/>
      <c r="E1" s="49"/>
      <c r="F1" s="49"/>
      <c r="G1" s="49"/>
      <c r="H1" s="49"/>
      <c r="I1" s="49"/>
    </row>
    <row r="2" spans="1:13" x14ac:dyDescent="0.25">
      <c r="A2" s="49" t="s">
        <v>56</v>
      </c>
      <c r="B2" s="49" t="s">
        <v>216</v>
      </c>
      <c r="C2" s="49"/>
      <c r="D2" s="49"/>
      <c r="E2" s="49"/>
      <c r="F2" s="49"/>
      <c r="G2" s="49"/>
      <c r="H2" s="49"/>
      <c r="I2" s="49"/>
    </row>
    <row r="3" spans="1:13" ht="80.25" customHeight="1" x14ac:dyDescent="0.25">
      <c r="A3" s="49"/>
      <c r="B3" s="49" t="s">
        <v>538</v>
      </c>
      <c r="C3" s="49" t="s">
        <v>537</v>
      </c>
      <c r="D3" s="49" t="s">
        <v>536</v>
      </c>
      <c r="E3" s="49"/>
      <c r="F3" s="49" t="s">
        <v>535</v>
      </c>
      <c r="G3" s="49" t="s">
        <v>534</v>
      </c>
      <c r="H3" s="49"/>
      <c r="I3" s="49" t="s">
        <v>533</v>
      </c>
    </row>
    <row r="4" spans="1:13" x14ac:dyDescent="0.25">
      <c r="A4" s="49"/>
      <c r="B4" s="49"/>
      <c r="C4" s="49"/>
      <c r="D4" s="40" t="s">
        <v>532</v>
      </c>
      <c r="E4" s="40" t="s">
        <v>531</v>
      </c>
      <c r="F4" s="49"/>
      <c r="G4" s="40" t="s">
        <v>530</v>
      </c>
      <c r="H4" s="40" t="s">
        <v>529</v>
      </c>
      <c r="I4" s="49"/>
    </row>
    <row r="5" spans="1:13" x14ac:dyDescent="0.25">
      <c r="A5" s="39" t="s">
        <v>50</v>
      </c>
      <c r="B5" s="38">
        <v>87.951807228915655</v>
      </c>
      <c r="C5" s="37">
        <v>56.63</v>
      </c>
      <c r="D5" s="37">
        <v>14.46</v>
      </c>
      <c r="E5" s="37">
        <v>29.397590361445786</v>
      </c>
      <c r="F5" s="37">
        <v>96.626506024096386</v>
      </c>
      <c r="G5" s="38">
        <v>99.759036144578317</v>
      </c>
      <c r="H5" s="37">
        <v>100</v>
      </c>
      <c r="I5" s="37">
        <v>82.168674698795186</v>
      </c>
      <c r="J5" s="50"/>
      <c r="K5" s="51"/>
      <c r="L5" s="51"/>
      <c r="M5" s="51"/>
    </row>
    <row r="6" spans="1:13" x14ac:dyDescent="0.25">
      <c r="A6" s="39" t="s">
        <v>48</v>
      </c>
      <c r="B6" s="38">
        <v>93.199843973475495</v>
      </c>
      <c r="C6" s="37">
        <v>30.67</v>
      </c>
      <c r="D6" s="37">
        <v>7.86</v>
      </c>
      <c r="E6" s="37">
        <v>24.538421531660383</v>
      </c>
      <c r="F6" s="37">
        <v>80.685216486802759</v>
      </c>
      <c r="G6" s="38">
        <v>98.009036536211156</v>
      </c>
      <c r="H6" s="37">
        <v>99.075217787023789</v>
      </c>
      <c r="I6" s="37">
        <v>46.892471720192432</v>
      </c>
    </row>
    <row r="7" spans="1:13" x14ac:dyDescent="0.25">
      <c r="A7" s="39" t="s">
        <v>47</v>
      </c>
      <c r="B7" s="38">
        <v>36.002957121734845</v>
      </c>
      <c r="C7" s="37">
        <v>24.82</v>
      </c>
      <c r="D7" s="37">
        <v>8.08</v>
      </c>
      <c r="E7" s="37">
        <v>22.621981271562348</v>
      </c>
      <c r="F7" s="37">
        <v>58.846722523410541</v>
      </c>
      <c r="G7" s="38">
        <v>93.297190734351901</v>
      </c>
      <c r="H7" s="37">
        <v>95.933957614588479</v>
      </c>
      <c r="I7" s="37">
        <v>25.184820108427797</v>
      </c>
    </row>
    <row r="8" spans="1:13" x14ac:dyDescent="0.25">
      <c r="A8" s="39" t="s">
        <v>46</v>
      </c>
      <c r="B8" s="38">
        <v>23.926672264203749</v>
      </c>
      <c r="C8" s="37">
        <v>11.23</v>
      </c>
      <c r="D8" s="37">
        <v>37.43</v>
      </c>
      <c r="E8" s="37">
        <v>55.520570948782535</v>
      </c>
      <c r="F8" s="37">
        <v>71.074727120067166</v>
      </c>
      <c r="G8" s="38">
        <v>78.998040862020716</v>
      </c>
      <c r="H8" s="37">
        <v>83.215785054575989</v>
      </c>
      <c r="I8" s="37">
        <v>46.886369997201236</v>
      </c>
    </row>
    <row r="9" spans="1:13" x14ac:dyDescent="0.25">
      <c r="A9" s="39" t="s">
        <v>45</v>
      </c>
      <c r="B9" s="38">
        <v>42.98274522727808</v>
      </c>
      <c r="C9" s="37">
        <v>9.92</v>
      </c>
      <c r="D9" s="37">
        <v>12.08</v>
      </c>
      <c r="E9" s="37">
        <v>65.074974694569335</v>
      </c>
      <c r="F9" s="37">
        <v>86.708175419599357</v>
      </c>
      <c r="G9" s="38">
        <v>88.005225865681126</v>
      </c>
      <c r="H9" s="37">
        <v>90.035545302605868</v>
      </c>
      <c r="I9" s="37">
        <v>37.104823332784072</v>
      </c>
    </row>
    <row r="10" spans="1:13" x14ac:dyDescent="0.25">
      <c r="A10" s="39" t="s">
        <v>44</v>
      </c>
      <c r="B10" s="38">
        <v>100</v>
      </c>
      <c r="C10" s="37">
        <v>96.52</v>
      </c>
      <c r="D10" s="37">
        <v>55.22</v>
      </c>
      <c r="E10" s="37">
        <v>70.149253731343293</v>
      </c>
      <c r="F10" s="37">
        <v>100</v>
      </c>
      <c r="G10" s="38">
        <v>98.507462686567166</v>
      </c>
      <c r="H10" s="37">
        <v>99.50248756218906</v>
      </c>
      <c r="I10" s="37">
        <v>100</v>
      </c>
    </row>
    <row r="11" spans="1:13" x14ac:dyDescent="0.25">
      <c r="A11" s="39" t="s">
        <v>41</v>
      </c>
      <c r="B11" s="38">
        <v>70.717182890855455</v>
      </c>
      <c r="C11" s="37">
        <v>13.49</v>
      </c>
      <c r="D11" s="37">
        <v>50.01</v>
      </c>
      <c r="E11" s="37">
        <v>66.214970501474923</v>
      </c>
      <c r="F11" s="37">
        <v>89.622050147492629</v>
      </c>
      <c r="G11" s="38">
        <v>99.096607669616517</v>
      </c>
      <c r="H11" s="37">
        <v>99.303097345132741</v>
      </c>
      <c r="I11" s="37">
        <v>56.745943952802357</v>
      </c>
    </row>
    <row r="12" spans="1:13" x14ac:dyDescent="0.25">
      <c r="A12" s="39" t="s">
        <v>38</v>
      </c>
      <c r="B12" s="38">
        <v>99.711815561959654</v>
      </c>
      <c r="C12" s="37">
        <v>62.54</v>
      </c>
      <c r="D12" s="37">
        <v>77.52</v>
      </c>
      <c r="E12" s="37">
        <v>75.216138328530263</v>
      </c>
      <c r="F12" s="37">
        <v>98.270893371757921</v>
      </c>
      <c r="G12" s="38">
        <v>99.711815561959654</v>
      </c>
      <c r="H12" s="37">
        <v>100</v>
      </c>
      <c r="I12" s="37">
        <v>84.726224783861667</v>
      </c>
    </row>
    <row r="13" spans="1:13" x14ac:dyDescent="0.25">
      <c r="A13" s="39" t="s">
        <v>37</v>
      </c>
      <c r="B13" s="38">
        <v>100</v>
      </c>
      <c r="C13" s="37">
        <v>84.83</v>
      </c>
      <c r="D13" s="37">
        <v>42.76</v>
      </c>
      <c r="E13" s="37">
        <v>68.275862068965523</v>
      </c>
      <c r="F13" s="37">
        <v>97.241379310344826</v>
      </c>
      <c r="G13" s="38">
        <v>97.931034482758619</v>
      </c>
      <c r="H13" s="37">
        <v>98.620689655172413</v>
      </c>
      <c r="I13" s="37">
        <v>77.241379310344826</v>
      </c>
    </row>
    <row r="14" spans="1:13" x14ac:dyDescent="0.25">
      <c r="A14" s="39" t="s">
        <v>36</v>
      </c>
      <c r="B14" s="38">
        <v>99.912755191066125</v>
      </c>
      <c r="C14" s="37">
        <v>87.7</v>
      </c>
      <c r="D14" s="37">
        <v>70.3</v>
      </c>
      <c r="E14" s="37">
        <v>72.762170650846272</v>
      </c>
      <c r="F14" s="37">
        <v>100</v>
      </c>
      <c r="G14" s="38">
        <v>88.815215494678071</v>
      </c>
      <c r="H14" s="37">
        <v>83.214098761123708</v>
      </c>
      <c r="I14" s="37">
        <v>99.371837375676137</v>
      </c>
    </row>
    <row r="15" spans="1:13" x14ac:dyDescent="0.25">
      <c r="A15" s="39" t="s">
        <v>35</v>
      </c>
      <c r="B15" s="38">
        <v>99.871050934880728</v>
      </c>
      <c r="C15" s="37">
        <v>45.97</v>
      </c>
      <c r="D15" s="37">
        <v>6.9</v>
      </c>
      <c r="E15" s="37">
        <v>48.549323017408128</v>
      </c>
      <c r="F15" s="37">
        <v>97.3565441650548</v>
      </c>
      <c r="G15" s="38">
        <v>99.355254674403611</v>
      </c>
      <c r="H15" s="37">
        <v>99.355254674403611</v>
      </c>
      <c r="I15" s="37">
        <v>90.006447453255973</v>
      </c>
    </row>
    <row r="16" spans="1:13" x14ac:dyDescent="0.25">
      <c r="A16" s="39" t="s">
        <v>34</v>
      </c>
      <c r="B16" s="38">
        <v>99.911804995214951</v>
      </c>
      <c r="C16" s="37">
        <v>75.77</v>
      </c>
      <c r="D16" s="37">
        <v>37.08</v>
      </c>
      <c r="E16" s="37">
        <v>80.720947251881185</v>
      </c>
      <c r="F16" s="37">
        <v>99.964346700193275</v>
      </c>
      <c r="G16" s="38">
        <v>97.162747931170372</v>
      </c>
      <c r="H16" s="37">
        <v>98.177928730930176</v>
      </c>
      <c r="I16" s="37">
        <v>67.033833105027114</v>
      </c>
    </row>
    <row r="17" spans="1:9" x14ac:dyDescent="0.25">
      <c r="A17" s="39" t="s">
        <v>33</v>
      </c>
      <c r="B17" s="38">
        <v>97.279150392767804</v>
      </c>
      <c r="C17" s="37">
        <v>48.79</v>
      </c>
      <c r="D17" s="37">
        <v>40.43</v>
      </c>
      <c r="E17" s="37">
        <v>61.372712511519723</v>
      </c>
      <c r="F17" s="37">
        <v>97.665335498310441</v>
      </c>
      <c r="G17" s="38">
        <v>93.706938166498446</v>
      </c>
      <c r="H17" s="37">
        <v>96.410233905296877</v>
      </c>
      <c r="I17" s="37">
        <v>82.792820467810586</v>
      </c>
    </row>
    <row r="18" spans="1:9" x14ac:dyDescent="0.25">
      <c r="A18" s="39" t="s">
        <v>32</v>
      </c>
      <c r="B18" s="38">
        <v>91.652021089630935</v>
      </c>
      <c r="C18" s="37">
        <v>26.68</v>
      </c>
      <c r="D18" s="37">
        <v>20.82</v>
      </c>
      <c r="E18" s="37">
        <v>76.26867311072057</v>
      </c>
      <c r="F18" s="37">
        <v>96.902460456942009</v>
      </c>
      <c r="G18" s="38">
        <v>99.697934973637956</v>
      </c>
      <c r="H18" s="37">
        <v>99.862697715289983</v>
      </c>
      <c r="I18" s="37">
        <v>68.453427065026361</v>
      </c>
    </row>
    <row r="19" spans="1:9" x14ac:dyDescent="0.25">
      <c r="A19" s="39" t="s">
        <v>540</v>
      </c>
      <c r="B19" s="38">
        <v>32.15996168582376</v>
      </c>
      <c r="C19" s="37">
        <v>19.04</v>
      </c>
      <c r="D19" s="37">
        <v>3.9</v>
      </c>
      <c r="E19" s="37">
        <v>22.194854953475645</v>
      </c>
      <c r="F19" s="37">
        <v>78.999042145593862</v>
      </c>
      <c r="G19" s="38">
        <v>94.006568144499184</v>
      </c>
      <c r="H19" s="37">
        <v>96.325944170771763</v>
      </c>
      <c r="I19" s="37">
        <v>47.814039408866989</v>
      </c>
    </row>
    <row r="20" spans="1:9" x14ac:dyDescent="0.25">
      <c r="A20" s="39" t="s">
        <v>30</v>
      </c>
      <c r="B20" s="38">
        <v>32.194018597637594</v>
      </c>
      <c r="C20" s="37">
        <v>11.72</v>
      </c>
      <c r="D20" s="37">
        <v>8.67</v>
      </c>
      <c r="E20" s="37">
        <v>59.02446175756053</v>
      </c>
      <c r="F20" s="37">
        <v>87.591103292284487</v>
      </c>
      <c r="G20" s="38">
        <v>96.64279132110245</v>
      </c>
      <c r="H20" s="37">
        <v>97.765351428332082</v>
      </c>
      <c r="I20" s="37">
        <v>31.1636089469716</v>
      </c>
    </row>
    <row r="21" spans="1:9" x14ac:dyDescent="0.25">
      <c r="A21" s="39" t="s">
        <v>29</v>
      </c>
      <c r="B21" s="38">
        <v>95.568788285090832</v>
      </c>
      <c r="C21" s="37">
        <v>40.229999999999997</v>
      </c>
      <c r="D21" s="37">
        <v>30.94</v>
      </c>
      <c r="E21" s="37">
        <v>49.092988406025711</v>
      </c>
      <c r="F21" s="37">
        <v>96.516549675316142</v>
      </c>
      <c r="G21" s="38">
        <v>95.526723979283332</v>
      </c>
      <c r="H21" s="37">
        <v>97.084417803717443</v>
      </c>
      <c r="I21" s="37">
        <v>50.694061045823801</v>
      </c>
    </row>
    <row r="22" spans="1:9" x14ac:dyDescent="0.25">
      <c r="A22" s="39" t="s">
        <v>28</v>
      </c>
      <c r="B22" s="38">
        <v>96.506066262249178</v>
      </c>
      <c r="C22" s="37">
        <v>94.91</v>
      </c>
      <c r="D22" s="37">
        <v>26.17</v>
      </c>
      <c r="E22" s="37">
        <v>61.380074661689221</v>
      </c>
      <c r="F22" s="37">
        <v>96.786047596826876</v>
      </c>
      <c r="G22" s="38">
        <v>97.0776948203453</v>
      </c>
      <c r="H22" s="37">
        <v>98.83924405039663</v>
      </c>
      <c r="I22" s="37">
        <v>76.242417172188524</v>
      </c>
    </row>
    <row r="23" spans="1:9" x14ac:dyDescent="0.25">
      <c r="A23" s="39" t="s">
        <v>27</v>
      </c>
      <c r="B23" s="38">
        <v>100</v>
      </c>
      <c r="C23" s="37">
        <v>100</v>
      </c>
      <c r="D23" s="37">
        <v>15.56</v>
      </c>
      <c r="E23" s="37">
        <v>62.222222222222221</v>
      </c>
      <c r="F23" s="37">
        <v>100</v>
      </c>
      <c r="G23" s="38">
        <v>100</v>
      </c>
      <c r="H23" s="37">
        <v>100</v>
      </c>
      <c r="I23" s="37">
        <v>91.111111111111114</v>
      </c>
    </row>
    <row r="24" spans="1:9" x14ac:dyDescent="0.25">
      <c r="A24" s="39" t="s">
        <v>26</v>
      </c>
      <c r="B24" s="38">
        <v>29.38947037684347</v>
      </c>
      <c r="C24" s="37">
        <v>15.86</v>
      </c>
      <c r="D24" s="37">
        <v>18.47</v>
      </c>
      <c r="E24" s="37">
        <v>67.225026019676775</v>
      </c>
      <c r="F24" s="37">
        <v>82.679077561547174</v>
      </c>
      <c r="G24" s="38">
        <v>94.303818183008332</v>
      </c>
      <c r="H24" s="37">
        <v>95.672551368405891</v>
      </c>
      <c r="I24" s="37">
        <v>51.674096184435328</v>
      </c>
    </row>
    <row r="25" spans="1:9" x14ac:dyDescent="0.25">
      <c r="A25" s="39" t="s">
        <v>25</v>
      </c>
      <c r="B25" s="38">
        <v>85.69076375410485</v>
      </c>
      <c r="C25" s="37">
        <v>62.85</v>
      </c>
      <c r="D25" s="37">
        <v>41.48</v>
      </c>
      <c r="E25" s="37">
        <v>85.215199654135205</v>
      </c>
      <c r="F25" s="37">
        <v>96.171571017265649</v>
      </c>
      <c r="G25" s="38">
        <v>97.304830149108199</v>
      </c>
      <c r="H25" s="37">
        <v>98.418772363930714</v>
      </c>
      <c r="I25" s="37">
        <v>85.701801992402011</v>
      </c>
    </row>
    <row r="26" spans="1:9" x14ac:dyDescent="0.25">
      <c r="A26" s="39" t="s">
        <v>24</v>
      </c>
      <c r="B26" s="38">
        <v>33.889112093210123</v>
      </c>
      <c r="C26" s="37">
        <v>27.5</v>
      </c>
      <c r="D26" s="37">
        <v>6.61</v>
      </c>
      <c r="E26" s="37">
        <v>37.203696263559664</v>
      </c>
      <c r="F26" s="37">
        <v>70.550421856167134</v>
      </c>
      <c r="G26" s="38">
        <v>98.192044997991161</v>
      </c>
      <c r="H26" s="37">
        <v>98.774608276416231</v>
      </c>
      <c r="I26" s="37">
        <v>34.411410204901564</v>
      </c>
    </row>
    <row r="27" spans="1:9" x14ac:dyDescent="0.25">
      <c r="A27" s="39" t="s">
        <v>17</v>
      </c>
      <c r="B27" s="38">
        <v>25.338930562246233</v>
      </c>
      <c r="C27" s="37">
        <v>12.43</v>
      </c>
      <c r="D27" s="37">
        <v>1.85</v>
      </c>
      <c r="E27" s="37">
        <v>33.287454407817769</v>
      </c>
      <c r="F27" s="37">
        <v>36.838483242722454</v>
      </c>
      <c r="G27" s="38">
        <v>85.995457986373964</v>
      </c>
      <c r="H27" s="37">
        <v>83.958433693482903</v>
      </c>
      <c r="I27" s="37">
        <v>13.371412841511251</v>
      </c>
    </row>
    <row r="28" spans="1:9" x14ac:dyDescent="0.25">
      <c r="A28" s="39" t="s">
        <v>14</v>
      </c>
      <c r="B28" s="38">
        <v>67.678066340961678</v>
      </c>
      <c r="C28" s="37">
        <v>34.840000000000003</v>
      </c>
      <c r="D28" s="37">
        <v>22.17</v>
      </c>
      <c r="E28" s="37">
        <v>40.035998971457957</v>
      </c>
      <c r="F28" s="37">
        <v>77.834919002314223</v>
      </c>
      <c r="G28" s="38">
        <v>98.405759835433273</v>
      </c>
      <c r="H28" s="37">
        <v>99.151452815633832</v>
      </c>
      <c r="I28" s="37">
        <v>31.730521985086142</v>
      </c>
    </row>
    <row r="29" spans="1:9" x14ac:dyDescent="0.25">
      <c r="A29" s="39" t="s">
        <v>13</v>
      </c>
      <c r="B29" s="38">
        <v>48.710702931826212</v>
      </c>
      <c r="C29" s="37">
        <v>40.340000000000003</v>
      </c>
      <c r="D29" s="37">
        <v>11.87</v>
      </c>
      <c r="E29" s="37">
        <v>28.717767573295657</v>
      </c>
      <c r="F29" s="37">
        <v>59.095725891910988</v>
      </c>
      <c r="G29" s="38">
        <v>99.399505475097143</v>
      </c>
      <c r="H29" s="37">
        <v>97.77463793712468</v>
      </c>
      <c r="I29" s="37">
        <v>21.335217237725185</v>
      </c>
    </row>
    <row r="30" spans="1:9" x14ac:dyDescent="0.25">
      <c r="A30" s="39" t="s">
        <v>12</v>
      </c>
      <c r="B30" s="38">
        <v>34.186178515680432</v>
      </c>
      <c r="C30" s="37">
        <v>16.41</v>
      </c>
      <c r="D30" s="37">
        <v>35.29</v>
      </c>
      <c r="E30" s="37">
        <v>65.938697318007669</v>
      </c>
      <c r="F30" s="37">
        <v>85.125585355470406</v>
      </c>
      <c r="G30" s="38">
        <v>95.210727969348667</v>
      </c>
      <c r="H30" s="37">
        <v>98.019015183766143</v>
      </c>
      <c r="I30" s="37">
        <v>47.435788278700159</v>
      </c>
    </row>
    <row r="31" spans="1:9" x14ac:dyDescent="0.25">
      <c r="A31" s="39" t="s">
        <v>11</v>
      </c>
      <c r="B31" s="38">
        <v>100</v>
      </c>
      <c r="C31" s="37">
        <v>99.86</v>
      </c>
      <c r="D31" s="37">
        <v>24.42</v>
      </c>
      <c r="E31" s="37">
        <v>63.229308005427413</v>
      </c>
      <c r="F31" s="37">
        <v>99.864314789687924</v>
      </c>
      <c r="G31" s="38">
        <v>96.200814111261863</v>
      </c>
      <c r="H31" s="37">
        <v>97.150610583446408</v>
      </c>
      <c r="I31" s="37">
        <v>99.864314789687924</v>
      </c>
    </row>
    <row r="32" spans="1:9" x14ac:dyDescent="0.25">
      <c r="A32" s="39" t="s">
        <v>10</v>
      </c>
      <c r="B32" s="38">
        <v>99.941302396243358</v>
      </c>
      <c r="C32" s="37">
        <v>53.23</v>
      </c>
      <c r="D32" s="37">
        <v>44</v>
      </c>
      <c r="E32" s="37">
        <v>68.910986810303157</v>
      </c>
      <c r="F32" s="37">
        <v>99.91367999447553</v>
      </c>
      <c r="G32" s="38">
        <v>97.669359850839029</v>
      </c>
      <c r="H32" s="37">
        <v>98.967612733927211</v>
      </c>
      <c r="I32" s="37">
        <v>89.917823354740705</v>
      </c>
    </row>
    <row r="33" spans="1:9" x14ac:dyDescent="0.25">
      <c r="A33" s="39" t="s">
        <v>9</v>
      </c>
      <c r="B33" s="38">
        <v>58.414427705431194</v>
      </c>
      <c r="C33" s="37">
        <v>32.17</v>
      </c>
      <c r="D33" s="37">
        <v>21.25</v>
      </c>
      <c r="E33" s="37">
        <v>49.483171144589136</v>
      </c>
      <c r="F33" s="37">
        <v>86.343991450809057</v>
      </c>
      <c r="G33" s="38">
        <v>98.325152968101307</v>
      </c>
      <c r="H33" s="37">
        <v>99.192366253392734</v>
      </c>
      <c r="I33" s="37">
        <v>63.353855174435644</v>
      </c>
    </row>
    <row r="34" spans="1:9" x14ac:dyDescent="0.25">
      <c r="A34" s="39" t="s">
        <v>8</v>
      </c>
      <c r="B34" s="38">
        <v>78.359908883826876</v>
      </c>
      <c r="C34" s="37">
        <v>59</v>
      </c>
      <c r="D34" s="37">
        <v>9.9499999999999993</v>
      </c>
      <c r="E34" s="37">
        <v>13.13591495823842</v>
      </c>
      <c r="F34" s="37">
        <v>85.041761579346996</v>
      </c>
      <c r="G34" s="38">
        <v>97.038724373576315</v>
      </c>
      <c r="H34" s="37">
        <v>91.799544419134392</v>
      </c>
      <c r="I34" s="37">
        <v>49.886104783599087</v>
      </c>
    </row>
    <row r="35" spans="1:9" x14ac:dyDescent="0.25">
      <c r="A35" s="39" t="s">
        <v>7</v>
      </c>
      <c r="B35" s="38">
        <v>99.298674891871869</v>
      </c>
      <c r="C35" s="37">
        <v>58.04</v>
      </c>
      <c r="D35" s="37">
        <v>21.15</v>
      </c>
      <c r="E35" s="37">
        <v>66.911929419468237</v>
      </c>
      <c r="F35" s="37">
        <v>98.259610911033377</v>
      </c>
      <c r="G35" s="38">
        <v>97.806420484896535</v>
      </c>
      <c r="H35" s="37">
        <v>98.7713886926404</v>
      </c>
      <c r="I35" s="37">
        <v>76.215256836627432</v>
      </c>
    </row>
    <row r="36" spans="1:9" x14ac:dyDescent="0.25">
      <c r="A36" s="39" t="s">
        <v>6</v>
      </c>
      <c r="B36" s="38">
        <v>88.15087865720777</v>
      </c>
      <c r="C36" s="37">
        <v>36.92</v>
      </c>
      <c r="D36" s="37">
        <v>7.88</v>
      </c>
      <c r="E36" s="37">
        <v>30.134001020076965</v>
      </c>
      <c r="F36" s="37">
        <v>75.745351694718792</v>
      </c>
      <c r="G36" s="38">
        <v>95.794500857792002</v>
      </c>
      <c r="H36" s="37">
        <v>98.112857606528493</v>
      </c>
      <c r="I36" s="37">
        <v>45.152316038391987</v>
      </c>
    </row>
    <row r="37" spans="1:9" x14ac:dyDescent="0.25">
      <c r="A37" s="39" t="s">
        <v>5</v>
      </c>
      <c r="B37" s="38">
        <v>29.288358700123407</v>
      </c>
      <c r="C37" s="37">
        <v>15.88</v>
      </c>
      <c r="D37" s="37">
        <v>7.51</v>
      </c>
      <c r="E37" s="37">
        <v>49.526943644590702</v>
      </c>
      <c r="F37" s="37">
        <v>71.740024681201149</v>
      </c>
      <c r="G37" s="38">
        <v>99.56807897984369</v>
      </c>
      <c r="H37" s="37">
        <v>99.753187988482111</v>
      </c>
      <c r="I37" s="37">
        <v>36.116824352118471</v>
      </c>
    </row>
    <row r="38" spans="1:9" x14ac:dyDescent="0.25">
      <c r="A38" s="39" t="s">
        <v>4</v>
      </c>
      <c r="B38" s="38">
        <v>42.930678571832907</v>
      </c>
      <c r="C38" s="37">
        <v>13.97</v>
      </c>
      <c r="D38" s="37">
        <v>15.31</v>
      </c>
      <c r="E38" s="37">
        <v>71.502700173218656</v>
      </c>
      <c r="F38" s="37">
        <v>88.646064087130114</v>
      </c>
      <c r="G38" s="38">
        <v>98.921817626036386</v>
      </c>
      <c r="H38" s="37">
        <v>99.474683281569014</v>
      </c>
      <c r="I38" s="37">
        <v>48.676707562371924</v>
      </c>
    </row>
    <row r="39" spans="1:9" x14ac:dyDescent="0.25">
      <c r="A39" s="39" t="s">
        <v>3</v>
      </c>
      <c r="B39" s="38">
        <v>72.453347741157899</v>
      </c>
      <c r="C39" s="37">
        <v>34.520000000000003</v>
      </c>
      <c r="D39" s="37">
        <v>6.2</v>
      </c>
      <c r="E39" s="37">
        <v>49.382818669215744</v>
      </c>
      <c r="F39" s="37">
        <v>81.787955612817427</v>
      </c>
      <c r="G39" s="38">
        <v>95.906238310959651</v>
      </c>
      <c r="H39" s="37">
        <v>96.483936660986657</v>
      </c>
      <c r="I39" s="37">
        <v>51.726860895224632</v>
      </c>
    </row>
    <row r="40" spans="1:9" x14ac:dyDescent="0.25">
      <c r="A40" s="39" t="s">
        <v>2</v>
      </c>
      <c r="B40" s="38">
        <v>79.126223660195777</v>
      </c>
      <c r="C40" s="37">
        <v>13.09</v>
      </c>
      <c r="D40" s="37">
        <v>11.41</v>
      </c>
      <c r="E40" s="37">
        <v>58.304297328687568</v>
      </c>
      <c r="F40" s="37">
        <v>88.578480172556823</v>
      </c>
      <c r="G40" s="38">
        <v>97.375352580056415</v>
      </c>
      <c r="H40" s="37">
        <v>98.214285714285708</v>
      </c>
      <c r="I40" s="37">
        <v>61.573958851833424</v>
      </c>
    </row>
    <row r="41" spans="1:9" x14ac:dyDescent="0.25">
      <c r="A41" s="39" t="s">
        <v>528</v>
      </c>
      <c r="B41" s="38">
        <v>60.81</v>
      </c>
      <c r="C41" s="37">
        <v>28.24</v>
      </c>
      <c r="D41" s="37">
        <v>22.44</v>
      </c>
      <c r="E41" s="37">
        <v>61.311009956955218</v>
      </c>
      <c r="F41" s="37">
        <v>87.343726597247993</v>
      </c>
      <c r="G41" s="38">
        <v>95.616725600901276</v>
      </c>
      <c r="H41" s="37">
        <v>96.879806721758783</v>
      </c>
      <c r="I41" s="37">
        <v>55.550432727059608</v>
      </c>
    </row>
    <row r="42" spans="1:9" x14ac:dyDescent="0.25">
      <c r="A42" s="52" t="s">
        <v>0</v>
      </c>
      <c r="B42" s="52"/>
      <c r="C42" s="52"/>
      <c r="D42" s="52"/>
      <c r="E42" s="52"/>
      <c r="F42" s="52"/>
      <c r="G42" s="52"/>
      <c r="H42" s="52"/>
      <c r="I42" s="52"/>
    </row>
  </sheetData>
  <mergeCells count="11">
    <mergeCell ref="I3:I4"/>
    <mergeCell ref="J5:M5"/>
    <mergeCell ref="A42:I42"/>
    <mergeCell ref="A1:I1"/>
    <mergeCell ref="A2:A4"/>
    <mergeCell ref="B2:I2"/>
    <mergeCell ref="B3:B4"/>
    <mergeCell ref="C3:C4"/>
    <mergeCell ref="D3:E3"/>
    <mergeCell ref="F3:F4"/>
    <mergeCell ref="G3: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8902A-8C45-4215-AD0D-02A9F0375190}">
  <sheetPr codeName="Sheet19"/>
  <dimension ref="A1:M43"/>
  <sheetViews>
    <sheetView workbookViewId="0">
      <selection activeCell="G43" sqref="G43"/>
    </sheetView>
  </sheetViews>
  <sheetFormatPr defaultColWidth="9.140625" defaultRowHeight="16.5" x14ac:dyDescent="0.25"/>
  <cols>
    <col min="1" max="1" width="28.7109375" style="35" customWidth="1"/>
    <col min="2" max="2" width="16.42578125" style="35" bestFit="1" customWidth="1"/>
    <col min="3" max="3" width="26.5703125" style="35" customWidth="1"/>
    <col min="4" max="4" width="14.85546875" style="35" customWidth="1"/>
    <col min="5" max="5" width="13.42578125" style="35" customWidth="1"/>
    <col min="6" max="6" width="19.7109375" style="35" customWidth="1"/>
    <col min="7" max="7" width="9.140625" style="35"/>
    <col min="8" max="8" width="10.42578125" style="35" bestFit="1" customWidth="1"/>
    <col min="9" max="9" width="26.5703125" style="35" customWidth="1"/>
    <col min="10" max="16384" width="9.140625" style="35"/>
  </cols>
  <sheetData>
    <row r="1" spans="1:13" ht="42.75" customHeight="1" x14ac:dyDescent="0.25">
      <c r="A1" s="49" t="s">
        <v>539</v>
      </c>
      <c r="B1" s="49"/>
      <c r="C1" s="49"/>
      <c r="D1" s="49"/>
      <c r="E1" s="49"/>
      <c r="F1" s="49"/>
      <c r="G1" s="49"/>
      <c r="H1" s="49"/>
      <c r="I1" s="49"/>
    </row>
    <row r="2" spans="1:13" x14ac:dyDescent="0.25">
      <c r="A2" s="49" t="s">
        <v>56</v>
      </c>
      <c r="B2" s="49" t="s">
        <v>55</v>
      </c>
      <c r="C2" s="49"/>
      <c r="D2" s="49"/>
      <c r="E2" s="49"/>
      <c r="F2" s="49"/>
      <c r="G2" s="49"/>
      <c r="H2" s="49"/>
      <c r="I2" s="49"/>
    </row>
    <row r="3" spans="1:13" ht="80.25" customHeight="1" x14ac:dyDescent="0.25">
      <c r="A3" s="49"/>
      <c r="B3" s="49" t="s">
        <v>538</v>
      </c>
      <c r="C3" s="49" t="s">
        <v>537</v>
      </c>
      <c r="D3" s="49" t="s">
        <v>536</v>
      </c>
      <c r="E3" s="49"/>
      <c r="F3" s="49" t="s">
        <v>535</v>
      </c>
      <c r="G3" s="49" t="s">
        <v>534</v>
      </c>
      <c r="H3" s="49"/>
      <c r="I3" s="49" t="s">
        <v>533</v>
      </c>
    </row>
    <row r="4" spans="1:13" x14ac:dyDescent="0.25">
      <c r="A4" s="49"/>
      <c r="B4" s="49"/>
      <c r="C4" s="49"/>
      <c r="D4" s="40" t="s">
        <v>532</v>
      </c>
      <c r="E4" s="40" t="s">
        <v>531</v>
      </c>
      <c r="F4" s="49"/>
      <c r="G4" s="40" t="s">
        <v>530</v>
      </c>
      <c r="H4" s="40" t="s">
        <v>529</v>
      </c>
      <c r="I4" s="49"/>
    </row>
    <row r="5" spans="1:13" x14ac:dyDescent="0.25">
      <c r="A5" s="39" t="s">
        <v>50</v>
      </c>
      <c r="B5" s="38">
        <v>87.681159420289859</v>
      </c>
      <c r="C5" s="37">
        <v>57</v>
      </c>
      <c r="D5" s="37">
        <v>13.285024154589372</v>
      </c>
      <c r="E5" s="37">
        <v>27.294685990338163</v>
      </c>
      <c r="F5" s="37">
        <v>96.376811594202891</v>
      </c>
      <c r="G5" s="38">
        <v>99.758454106280197</v>
      </c>
      <c r="H5" s="37">
        <v>100</v>
      </c>
      <c r="I5" s="37">
        <v>80.917874396135275</v>
      </c>
      <c r="J5" s="50" t="s">
        <v>49</v>
      </c>
      <c r="K5" s="51"/>
      <c r="L5" s="51"/>
      <c r="M5" s="51"/>
    </row>
    <row r="6" spans="1:13" x14ac:dyDescent="0.25">
      <c r="A6" s="39" t="s">
        <v>48</v>
      </c>
      <c r="B6" s="38">
        <v>92.544097476954477</v>
      </c>
      <c r="C6" s="37">
        <v>30.59</v>
      </c>
      <c r="D6" s="37">
        <v>7.8992695607795609</v>
      </c>
      <c r="E6" s="37">
        <v>25.936971707441547</v>
      </c>
      <c r="F6" s="37">
        <v>80.018181238238014</v>
      </c>
      <c r="G6" s="38">
        <v>98.132435966954802</v>
      </c>
      <c r="H6" s="37">
        <v>99.175464897451434</v>
      </c>
      <c r="I6" s="37">
        <v>41.013045835858506</v>
      </c>
    </row>
    <row r="7" spans="1:13" x14ac:dyDescent="0.25">
      <c r="A7" s="39" t="s">
        <v>47</v>
      </c>
      <c r="B7" s="38">
        <v>35.13713862120089</v>
      </c>
      <c r="C7" s="37">
        <v>24.36</v>
      </c>
      <c r="D7" s="37">
        <v>7.5611564121571533</v>
      </c>
      <c r="E7" s="37">
        <v>21.868050407709415</v>
      </c>
      <c r="F7" s="37">
        <v>57.845317519149987</v>
      </c>
      <c r="G7" s="38">
        <v>93.723745984680008</v>
      </c>
      <c r="H7" s="37">
        <v>96.417099085742535</v>
      </c>
      <c r="I7" s="37">
        <v>23.424759080800591</v>
      </c>
    </row>
    <row r="8" spans="1:13" x14ac:dyDescent="0.25">
      <c r="A8" s="39" t="s">
        <v>46</v>
      </c>
      <c r="B8" s="38">
        <v>22.92587483460488</v>
      </c>
      <c r="C8" s="37">
        <v>10.76</v>
      </c>
      <c r="D8" s="37">
        <v>33.619548999183579</v>
      </c>
      <c r="E8" s="37">
        <v>54.712705160327687</v>
      </c>
      <c r="F8" s="37">
        <v>69.798147574674147</v>
      </c>
      <c r="G8" s="38">
        <v>81.133695560372743</v>
      </c>
      <c r="H8" s="37">
        <v>83.775794600377239</v>
      </c>
      <c r="I8" s="37">
        <v>44.370935502941919</v>
      </c>
    </row>
    <row r="9" spans="1:13" x14ac:dyDescent="0.25">
      <c r="A9" s="39" t="s">
        <v>45</v>
      </c>
      <c r="B9" s="38">
        <v>35.874210551308231</v>
      </c>
      <c r="C9" s="37">
        <v>9.3699999999999992</v>
      </c>
      <c r="D9" s="37">
        <v>11.452348164680185</v>
      </c>
      <c r="E9" s="37">
        <v>61.346692625480792</v>
      </c>
      <c r="F9" s="37">
        <v>85.165487440049375</v>
      </c>
      <c r="G9" s="38">
        <v>88.389762096965669</v>
      </c>
      <c r="H9" s="37">
        <v>89.942542380929765</v>
      </c>
      <c r="I9" s="37">
        <v>33.234009212213309</v>
      </c>
    </row>
    <row r="10" spans="1:13" x14ac:dyDescent="0.25">
      <c r="A10" s="39" t="s">
        <v>44</v>
      </c>
      <c r="B10" s="38">
        <v>100</v>
      </c>
      <c r="C10" s="37">
        <v>94.53</v>
      </c>
      <c r="D10" s="37">
        <v>39.303482587064678</v>
      </c>
      <c r="E10" s="37">
        <v>59.701492537313428</v>
      </c>
      <c r="F10" s="37">
        <v>100</v>
      </c>
      <c r="G10" s="38">
        <v>98.507462686567166</v>
      </c>
      <c r="H10" s="37">
        <v>99.50248756218906</v>
      </c>
      <c r="I10" s="37">
        <v>100</v>
      </c>
    </row>
    <row r="11" spans="1:13" x14ac:dyDescent="0.25">
      <c r="A11" s="39" t="s">
        <v>41</v>
      </c>
      <c r="B11" s="38">
        <v>65.961956824900994</v>
      </c>
      <c r="C11" s="37">
        <v>12.7</v>
      </c>
      <c r="D11" s="37">
        <v>48.554322158383073</v>
      </c>
      <c r="E11" s="37">
        <v>65.45620200442535</v>
      </c>
      <c r="F11" s="37">
        <v>89.196928283222704</v>
      </c>
      <c r="G11" s="38">
        <v>96.389059333221766</v>
      </c>
      <c r="H11" s="37">
        <v>97.55861735557167</v>
      </c>
      <c r="I11" s="37">
        <v>52.129934363436902</v>
      </c>
    </row>
    <row r="12" spans="1:13" x14ac:dyDescent="0.25">
      <c r="A12" s="39" t="s">
        <v>38</v>
      </c>
      <c r="B12" s="38">
        <v>99.711815561959654</v>
      </c>
      <c r="C12" s="37">
        <v>42.65</v>
      </c>
      <c r="D12" s="37">
        <v>72.622478386167145</v>
      </c>
      <c r="E12" s="37">
        <v>70.317002881844388</v>
      </c>
      <c r="F12" s="37">
        <v>98.270893371757921</v>
      </c>
      <c r="G12" s="38">
        <v>99.711815561959654</v>
      </c>
      <c r="H12" s="37">
        <v>100</v>
      </c>
      <c r="I12" s="37">
        <v>78.38616714697406</v>
      </c>
    </row>
    <row r="13" spans="1:13" x14ac:dyDescent="0.25">
      <c r="A13" s="39" t="s">
        <v>37</v>
      </c>
      <c r="B13" s="38">
        <v>100</v>
      </c>
      <c r="C13" s="37">
        <v>64.14</v>
      </c>
      <c r="D13" s="37">
        <v>32.41379310344827</v>
      </c>
      <c r="E13" s="37">
        <v>66.206896551724142</v>
      </c>
      <c r="F13" s="37">
        <v>97.241379310344826</v>
      </c>
      <c r="G13" s="38">
        <v>97.931034482758619</v>
      </c>
      <c r="H13" s="37">
        <v>98.620689655172413</v>
      </c>
      <c r="I13" s="37">
        <v>70.34482758620689</v>
      </c>
    </row>
    <row r="14" spans="1:13" x14ac:dyDescent="0.25">
      <c r="A14" s="39" t="s">
        <v>36</v>
      </c>
      <c r="B14" s="38">
        <v>99.878366637706335</v>
      </c>
      <c r="C14" s="37">
        <v>83.89</v>
      </c>
      <c r="D14" s="37">
        <v>69.556907037358812</v>
      </c>
      <c r="E14" s="37">
        <v>73.327541268462198</v>
      </c>
      <c r="F14" s="37">
        <v>100</v>
      </c>
      <c r="G14" s="38">
        <v>89.400521285838394</v>
      </c>
      <c r="H14" s="37">
        <v>82.58905299739358</v>
      </c>
      <c r="I14" s="37">
        <v>99.183318853171158</v>
      </c>
    </row>
    <row r="15" spans="1:13" x14ac:dyDescent="0.25">
      <c r="A15" s="39" t="s">
        <v>35</v>
      </c>
      <c r="B15" s="38">
        <v>99.742599742599751</v>
      </c>
      <c r="C15" s="37">
        <v>44.72</v>
      </c>
      <c r="D15" s="37">
        <v>6.3063063063063058</v>
      </c>
      <c r="E15" s="37">
        <v>45.109395109395109</v>
      </c>
      <c r="F15" s="37">
        <v>97.104247104247094</v>
      </c>
      <c r="G15" s="38">
        <v>99.29214929214929</v>
      </c>
      <c r="H15" s="37">
        <v>99.356499356499356</v>
      </c>
      <c r="I15" s="37">
        <v>87.387387387387378</v>
      </c>
    </row>
    <row r="16" spans="1:13" x14ac:dyDescent="0.25">
      <c r="A16" s="39" t="s">
        <v>34</v>
      </c>
      <c r="B16" s="38">
        <v>99.713871509232405</v>
      </c>
      <c r="C16" s="37">
        <v>75.5</v>
      </c>
      <c r="D16" s="37">
        <v>29.8622768197772</v>
      </c>
      <c r="E16" s="37">
        <v>78.984816114756597</v>
      </c>
      <c r="F16" s="37">
        <v>98.332824660460858</v>
      </c>
      <c r="G16" s="38">
        <v>97.178773081031594</v>
      </c>
      <c r="H16" s="37">
        <v>98.210743171066682</v>
      </c>
      <c r="I16" s="37">
        <v>60.052647642301238</v>
      </c>
    </row>
    <row r="17" spans="1:9" x14ac:dyDescent="0.25">
      <c r="A17" s="39" t="s">
        <v>33</v>
      </c>
      <c r="B17" s="38">
        <v>97.539771454178805</v>
      </c>
      <c r="C17" s="37">
        <v>46.93</v>
      </c>
      <c r="D17" s="37">
        <v>38.400179251624465</v>
      </c>
      <c r="E17" s="37">
        <v>62.240645305848084</v>
      </c>
      <c r="F17" s="37">
        <v>97.154380461572927</v>
      </c>
      <c r="G17" s="38">
        <v>93.336320860407795</v>
      </c>
      <c r="H17" s="37">
        <v>96.074389424154162</v>
      </c>
      <c r="I17" s="37">
        <v>79.605646426170736</v>
      </c>
    </row>
    <row r="18" spans="1:9" x14ac:dyDescent="0.25">
      <c r="A18" s="39" t="s">
        <v>32</v>
      </c>
      <c r="B18" s="38">
        <v>91.002827207716621</v>
      </c>
      <c r="C18" s="37">
        <v>26</v>
      </c>
      <c r="D18" s="37">
        <v>20.239481124230831</v>
      </c>
      <c r="E18" s="37">
        <v>74.266866234270196</v>
      </c>
      <c r="F18" s="37">
        <v>96.263650978435606</v>
      </c>
      <c r="G18" s="38">
        <v>99.478906813016238</v>
      </c>
      <c r="H18" s="37">
        <v>99.700648594711467</v>
      </c>
      <c r="I18" s="37">
        <v>66.500360330395253</v>
      </c>
    </row>
    <row r="19" spans="1:9" x14ac:dyDescent="0.25">
      <c r="A19" s="39" t="s">
        <v>31</v>
      </c>
      <c r="B19" s="38">
        <v>29.341399697511346</v>
      </c>
      <c r="C19" s="37">
        <v>18.32</v>
      </c>
      <c r="D19" s="37">
        <v>3.5817406847243229</v>
      </c>
      <c r="E19" s="37">
        <v>21.473257252853017</v>
      </c>
      <c r="F19" s="37">
        <v>78.581740684724323</v>
      </c>
      <c r="G19" s="38">
        <v>90.873779733260008</v>
      </c>
      <c r="H19" s="37">
        <v>94.428021449195654</v>
      </c>
      <c r="I19" s="37">
        <v>44.520830468857419</v>
      </c>
    </row>
    <row r="20" spans="1:9" x14ac:dyDescent="0.25">
      <c r="A20" s="39" t="s">
        <v>30</v>
      </c>
      <c r="B20" s="38">
        <v>16.151833000185466</v>
      </c>
      <c r="C20" s="37">
        <v>10.28</v>
      </c>
      <c r="D20" s="37">
        <v>7.7192548631717779</v>
      </c>
      <c r="E20" s="37">
        <v>46.438065406886885</v>
      </c>
      <c r="F20" s="37">
        <v>83.984173758938311</v>
      </c>
      <c r="G20" s="38">
        <v>95.16351721721928</v>
      </c>
      <c r="H20" s="37">
        <v>96.342242462958765</v>
      </c>
      <c r="I20" s="37">
        <v>27.885507037319428</v>
      </c>
    </row>
    <row r="21" spans="1:9" x14ac:dyDescent="0.25">
      <c r="A21" s="39" t="s">
        <v>29</v>
      </c>
      <c r="B21" s="38">
        <v>96.958497264502114</v>
      </c>
      <c r="C21" s="37">
        <v>39.53</v>
      </c>
      <c r="D21" s="37">
        <v>12.074606896369007</v>
      </c>
      <c r="E21" s="37">
        <v>65.09027805375618</v>
      </c>
      <c r="F21" s="37">
        <v>98.212984673263662</v>
      </c>
      <c r="G21" s="38">
        <v>98.503093165891727</v>
      </c>
      <c r="H21" s="37">
        <v>99.315132005987621</v>
      </c>
      <c r="I21" s="37">
        <v>46.392189590536368</v>
      </c>
    </row>
    <row r="22" spans="1:9" x14ac:dyDescent="0.25">
      <c r="A22" s="39" t="s">
        <v>28</v>
      </c>
      <c r="B22" s="38">
        <v>96.164399556308013</v>
      </c>
      <c r="C22" s="37">
        <v>94.5</v>
      </c>
      <c r="D22" s="37">
        <v>24.816112084063047</v>
      </c>
      <c r="E22" s="37">
        <v>59.075252495767415</v>
      </c>
      <c r="F22" s="37">
        <v>96.573063226107763</v>
      </c>
      <c r="G22" s="38">
        <v>96.894156109521873</v>
      </c>
      <c r="H22" s="37">
        <v>98.66308599451223</v>
      </c>
      <c r="I22" s="37">
        <v>73.250043785393189</v>
      </c>
    </row>
    <row r="23" spans="1:9" x14ac:dyDescent="0.25">
      <c r="A23" s="39" t="s">
        <v>27</v>
      </c>
      <c r="B23" s="38">
        <v>100</v>
      </c>
      <c r="C23" s="37">
        <v>100</v>
      </c>
      <c r="D23" s="37">
        <v>11.111111111111111</v>
      </c>
      <c r="E23" s="37">
        <v>60</v>
      </c>
      <c r="F23" s="37">
        <v>100</v>
      </c>
      <c r="G23" s="38">
        <v>100</v>
      </c>
      <c r="H23" s="37">
        <v>100</v>
      </c>
      <c r="I23" s="37">
        <v>91.111111111111114</v>
      </c>
    </row>
    <row r="24" spans="1:9" x14ac:dyDescent="0.25">
      <c r="A24" s="39" t="s">
        <v>26</v>
      </c>
      <c r="B24" s="38">
        <v>26.775314734482166</v>
      </c>
      <c r="C24" s="37">
        <v>15.17</v>
      </c>
      <c r="D24" s="37">
        <v>16.882901526909961</v>
      </c>
      <c r="E24" s="37">
        <v>66.367519666759534</v>
      </c>
      <c r="F24" s="37">
        <v>82.348337114126906</v>
      </c>
      <c r="G24" s="38">
        <v>94.509889760019107</v>
      </c>
      <c r="H24" s="37">
        <v>95.550602937079631</v>
      </c>
      <c r="I24" s="37">
        <v>48.079091548268131</v>
      </c>
    </row>
    <row r="25" spans="1:9" x14ac:dyDescent="0.25">
      <c r="A25" s="39" t="s">
        <v>25</v>
      </c>
      <c r="B25" s="38">
        <v>86.618226417899365</v>
      </c>
      <c r="C25" s="37">
        <v>59.65</v>
      </c>
      <c r="D25" s="37">
        <v>40.643350925444139</v>
      </c>
      <c r="E25" s="37">
        <v>84.233999851334275</v>
      </c>
      <c r="F25" s="37">
        <v>96.183007507619124</v>
      </c>
      <c r="G25" s="38">
        <v>98.026462499070846</v>
      </c>
      <c r="H25" s="37">
        <v>98.855273916598534</v>
      </c>
      <c r="I25" s="37">
        <v>84.199620902400952</v>
      </c>
    </row>
    <row r="26" spans="1:9" x14ac:dyDescent="0.25">
      <c r="A26" s="39" t="s">
        <v>24</v>
      </c>
      <c r="B26" s="38">
        <v>33.206489084718605</v>
      </c>
      <c r="C26" s="37">
        <v>27.16</v>
      </c>
      <c r="D26" s="37">
        <v>6.5291407971159625</v>
      </c>
      <c r="E26" s="37">
        <v>37.031844582415381</v>
      </c>
      <c r="F26" s="37">
        <v>71.059483276587216</v>
      </c>
      <c r="G26" s="38">
        <v>97.877027838974556</v>
      </c>
      <c r="H26" s="37">
        <v>98.578009212898053</v>
      </c>
      <c r="I26" s="37">
        <v>33.266573202483478</v>
      </c>
    </row>
    <row r="27" spans="1:9" x14ac:dyDescent="0.25">
      <c r="A27" s="39" t="s">
        <v>17</v>
      </c>
      <c r="B27" s="38">
        <v>24.369574204216619</v>
      </c>
      <c r="C27" s="37">
        <v>11.74</v>
      </c>
      <c r="D27" s="37">
        <v>1.6742455560148823</v>
      </c>
      <c r="E27" s="37">
        <v>32.416976712140006</v>
      </c>
      <c r="F27" s="37">
        <v>36.357999173212072</v>
      </c>
      <c r="G27" s="38">
        <v>85.765467824169775</v>
      </c>
      <c r="H27" s="37">
        <v>84.180790960451972</v>
      </c>
      <c r="I27" s="37">
        <v>12.064213862477608</v>
      </c>
    </row>
    <row r="28" spans="1:9" x14ac:dyDescent="0.25">
      <c r="A28" s="39" t="s">
        <v>14</v>
      </c>
      <c r="B28" s="38">
        <v>66.06535947712419</v>
      </c>
      <c r="C28" s="37">
        <v>32.81</v>
      </c>
      <c r="D28" s="37">
        <v>24.3921568627451</v>
      </c>
      <c r="E28" s="37">
        <v>41.568627450980394</v>
      </c>
      <c r="F28" s="37">
        <v>77.986928104575156</v>
      </c>
      <c r="G28" s="38">
        <v>97.803921568627445</v>
      </c>
      <c r="H28" s="37">
        <v>99.267973856209153</v>
      </c>
      <c r="I28" s="37">
        <v>28.993464052287582</v>
      </c>
    </row>
    <row r="29" spans="1:9" x14ac:dyDescent="0.25">
      <c r="A29" s="39" t="s">
        <v>13</v>
      </c>
      <c r="B29" s="38">
        <v>48.230714791224344</v>
      </c>
      <c r="C29" s="37">
        <v>40.130000000000003</v>
      </c>
      <c r="D29" s="37">
        <v>11.677282377919321</v>
      </c>
      <c r="E29" s="37">
        <v>27.990092002830856</v>
      </c>
      <c r="F29" s="37">
        <v>57.855626326963908</v>
      </c>
      <c r="G29" s="38">
        <v>98.619957537154988</v>
      </c>
      <c r="H29" s="37">
        <v>99.858457183297944</v>
      </c>
      <c r="I29" s="37">
        <v>20.34677990092003</v>
      </c>
    </row>
    <row r="30" spans="1:9" x14ac:dyDescent="0.25">
      <c r="A30" s="39" t="s">
        <v>12</v>
      </c>
      <c r="B30" s="38">
        <v>31.376955903271693</v>
      </c>
      <c r="C30" s="37">
        <v>15.03</v>
      </c>
      <c r="D30" s="37">
        <v>31.091038406827881</v>
      </c>
      <c r="E30" s="37">
        <v>64.106685633001419</v>
      </c>
      <c r="F30" s="37">
        <v>82.305832147937409</v>
      </c>
      <c r="G30" s="38">
        <v>92.648648648648646</v>
      </c>
      <c r="H30" s="37">
        <v>96.852062588904701</v>
      </c>
      <c r="I30" s="37">
        <v>41.436699857752487</v>
      </c>
    </row>
    <row r="31" spans="1:9" x14ac:dyDescent="0.25">
      <c r="A31" s="39" t="s">
        <v>11</v>
      </c>
      <c r="B31" s="38">
        <v>100</v>
      </c>
      <c r="C31" s="37">
        <v>98.77</v>
      </c>
      <c r="D31" s="37">
        <v>21.614227086183309</v>
      </c>
      <c r="E31" s="37">
        <v>63.885088919288648</v>
      </c>
      <c r="F31" s="37">
        <v>99.863201094391243</v>
      </c>
      <c r="G31" s="38">
        <v>95.759233926128601</v>
      </c>
      <c r="H31" s="37">
        <v>96.716826265389884</v>
      </c>
      <c r="I31" s="37">
        <v>74.418604651162795</v>
      </c>
    </row>
    <row r="32" spans="1:9" x14ac:dyDescent="0.25">
      <c r="A32" s="39" t="s">
        <v>10</v>
      </c>
      <c r="B32" s="38">
        <v>99.93445563681523</v>
      </c>
      <c r="C32" s="37">
        <v>52.83</v>
      </c>
      <c r="D32" s="37">
        <v>43.562853594590869</v>
      </c>
      <c r="E32" s="37">
        <v>68.749137574168614</v>
      </c>
      <c r="F32" s="37">
        <v>99.775769283841584</v>
      </c>
      <c r="G32" s="38">
        <v>98.061266731061124</v>
      </c>
      <c r="H32" s="37">
        <v>99.130674761970468</v>
      </c>
      <c r="I32" s="37">
        <v>88.088174417000147</v>
      </c>
    </row>
    <row r="33" spans="1:9" x14ac:dyDescent="0.25">
      <c r="A33" s="39" t="s">
        <v>9</v>
      </c>
      <c r="B33" s="38">
        <v>55.472756114656733</v>
      </c>
      <c r="C33" s="37">
        <v>30.11</v>
      </c>
      <c r="D33" s="37">
        <v>19.297598406315711</v>
      </c>
      <c r="E33" s="37">
        <v>48.285498210794259</v>
      </c>
      <c r="F33" s="37">
        <v>85.346036079241529</v>
      </c>
      <c r="G33" s="38">
        <v>98.473641494816832</v>
      </c>
      <c r="H33" s="37">
        <v>99.65691518795883</v>
      </c>
      <c r="I33" s="37">
        <v>58.999520419079943</v>
      </c>
    </row>
    <row r="34" spans="1:9" x14ac:dyDescent="0.25">
      <c r="A34" s="39" t="s">
        <v>8</v>
      </c>
      <c r="B34" s="38">
        <v>80.218921032056286</v>
      </c>
      <c r="C34" s="37">
        <v>60.36</v>
      </c>
      <c r="D34" s="37">
        <v>10.320562939796716</v>
      </c>
      <c r="E34" s="37">
        <v>13.604378420641124</v>
      </c>
      <c r="F34" s="37">
        <v>87.099296325254102</v>
      </c>
      <c r="G34" s="38">
        <v>99.452697419859277</v>
      </c>
      <c r="H34" s="37">
        <v>94.057857701329155</v>
      </c>
      <c r="I34" s="37">
        <v>50.899139953088344</v>
      </c>
    </row>
    <row r="35" spans="1:9" x14ac:dyDescent="0.25">
      <c r="A35" s="39" t="s">
        <v>7</v>
      </c>
      <c r="B35" s="38">
        <v>98.669746279283828</v>
      </c>
      <c r="C35" s="37">
        <v>57.62</v>
      </c>
      <c r="D35" s="37">
        <v>18.140770713578661</v>
      </c>
      <c r="E35" s="37">
        <v>66.042061024955274</v>
      </c>
      <c r="F35" s="37">
        <v>97.857006408141288</v>
      </c>
      <c r="G35" s="38">
        <v>97.737179375857451</v>
      </c>
      <c r="H35" s="37">
        <v>98.773943698661057</v>
      </c>
      <c r="I35" s="37">
        <v>71.085216122814018</v>
      </c>
    </row>
    <row r="36" spans="1:9" x14ac:dyDescent="0.25">
      <c r="A36" s="39" t="s">
        <v>6</v>
      </c>
      <c r="B36" s="38">
        <v>88.503940701820227</v>
      </c>
      <c r="C36" s="37">
        <v>35.51</v>
      </c>
      <c r="D36" s="37">
        <v>7.1565959842371925</v>
      </c>
      <c r="E36" s="37">
        <v>29.653781197222745</v>
      </c>
      <c r="F36" s="37">
        <v>73.740382811033967</v>
      </c>
      <c r="G36" s="38">
        <v>100</v>
      </c>
      <c r="H36" s="37">
        <v>100</v>
      </c>
      <c r="I36" s="37">
        <v>37.990242071683241</v>
      </c>
    </row>
    <row r="37" spans="1:9" x14ac:dyDescent="0.25">
      <c r="A37" s="39" t="s">
        <v>5</v>
      </c>
      <c r="B37" s="38">
        <v>28.199834847233689</v>
      </c>
      <c r="C37" s="37">
        <v>15.65</v>
      </c>
      <c r="D37" s="37">
        <v>6.1106523534269197</v>
      </c>
      <c r="E37" s="37">
        <v>49.690338563170933</v>
      </c>
      <c r="F37" s="37">
        <v>71.531791907514446</v>
      </c>
      <c r="G37" s="38">
        <v>99.360033030553268</v>
      </c>
      <c r="H37" s="37">
        <v>99.710982658959537</v>
      </c>
      <c r="I37" s="37">
        <v>34.413707679603633</v>
      </c>
    </row>
    <row r="38" spans="1:9" x14ac:dyDescent="0.25">
      <c r="A38" s="39" t="s">
        <v>4</v>
      </c>
      <c r="B38" s="38">
        <v>41.933530494165261</v>
      </c>
      <c r="C38" s="37">
        <v>13.31</v>
      </c>
      <c r="D38" s="37">
        <v>13.137528372576366</v>
      </c>
      <c r="E38" s="37">
        <v>72.463637890821857</v>
      </c>
      <c r="F38" s="37">
        <v>88.420772990268276</v>
      </c>
      <c r="G38" s="38">
        <v>99.094023839010489</v>
      </c>
      <c r="H38" s="37">
        <v>99.647220149472389</v>
      </c>
      <c r="I38" s="37">
        <v>45.392179460633599</v>
      </c>
    </row>
    <row r="39" spans="1:9" x14ac:dyDescent="0.25">
      <c r="A39" s="39" t="s">
        <v>3</v>
      </c>
      <c r="B39" s="38">
        <v>69.791059685340883</v>
      </c>
      <c r="C39" s="37">
        <v>33.54</v>
      </c>
      <c r="D39" s="37">
        <v>5.6355614750686751</v>
      </c>
      <c r="E39" s="37">
        <v>48.892866061766419</v>
      </c>
      <c r="F39" s="37">
        <v>80.941480063264791</v>
      </c>
      <c r="G39" s="38">
        <v>96.241571630733375</v>
      </c>
      <c r="H39" s="37">
        <v>96.82427370348789</v>
      </c>
      <c r="I39" s="37">
        <v>48.410055772912678</v>
      </c>
    </row>
    <row r="40" spans="1:9" x14ac:dyDescent="0.25">
      <c r="A40" s="39" t="s">
        <v>2</v>
      </c>
      <c r="B40" s="38">
        <v>72.448190858193357</v>
      </c>
      <c r="C40" s="37">
        <v>12.67</v>
      </c>
      <c r="D40" s="37">
        <v>10.832915517673602</v>
      </c>
      <c r="E40" s="37">
        <v>57.944764769783575</v>
      </c>
      <c r="F40" s="37">
        <v>88.06300660148743</v>
      </c>
      <c r="G40" s="38">
        <v>95.136625720732013</v>
      </c>
      <c r="H40" s="37">
        <v>97.418943762012205</v>
      </c>
      <c r="I40" s="37">
        <v>55.787791426422665</v>
      </c>
    </row>
    <row r="41" spans="1:9" x14ac:dyDescent="0.25">
      <c r="A41" s="39" t="s">
        <v>528</v>
      </c>
      <c r="B41" s="38">
        <v>58.54834196258134</v>
      </c>
      <c r="C41" s="37">
        <v>27.31</v>
      </c>
      <c r="D41" s="37">
        <v>19.794645895216988</v>
      </c>
      <c r="E41" s="37">
        <v>60.996083665825417</v>
      </c>
      <c r="F41" s="37">
        <v>86.623439411117872</v>
      </c>
      <c r="G41" s="38">
        <v>95.649203661200971</v>
      </c>
      <c r="H41" s="37">
        <v>96.904046528309678</v>
      </c>
      <c r="I41" s="37">
        <v>51.603713226068784</v>
      </c>
    </row>
    <row r="42" spans="1:9" x14ac:dyDescent="0.25">
      <c r="A42" s="52" t="s">
        <v>0</v>
      </c>
      <c r="B42" s="52"/>
      <c r="C42" s="52"/>
      <c r="D42" s="52"/>
      <c r="E42" s="52"/>
      <c r="F42" s="52"/>
      <c r="G42" s="52"/>
      <c r="H42" s="52"/>
      <c r="I42" s="52"/>
    </row>
    <row r="43" spans="1:9" x14ac:dyDescent="0.25">
      <c r="H43" s="36">
        <f>AVERAGE(H5:H41)</f>
        <v>96.801550434240681</v>
      </c>
      <c r="I43" s="36">
        <f>SUM(I5:I41)</f>
        <v>2085.1853842842706</v>
      </c>
    </row>
  </sheetData>
  <mergeCells count="11">
    <mergeCell ref="A2:A4"/>
    <mergeCell ref="J5:M5"/>
    <mergeCell ref="A42:I42"/>
    <mergeCell ref="A1:I1"/>
    <mergeCell ref="B3:B4"/>
    <mergeCell ref="C3:C4"/>
    <mergeCell ref="D3:E3"/>
    <mergeCell ref="F3:F4"/>
    <mergeCell ref="G3:H3"/>
    <mergeCell ref="I3:I4"/>
    <mergeCell ref="B2:I2"/>
  </mergeCells>
  <hyperlinks>
    <hyperlink ref="J5:M5" location="'SDG 4 - Index'!A1" display="Return to Index Page" xr:uid="{B1D7AC80-0E53-4F88-97A9-6F12AD4CCAFA}"/>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25F3-1A63-4403-8D81-4981BDF2FEE3}">
  <sheetPr codeName="Sheet20"/>
  <dimension ref="A1"/>
  <sheetViews>
    <sheetView workbookViewId="0">
      <selection activeCell="AA18" sqref="AA18"/>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F83D-EB03-4416-9E73-1223E11658AB}">
  <sheetPr codeName="Sheet18"/>
  <dimension ref="A1:I40"/>
  <sheetViews>
    <sheetView topLeftCell="A4" workbookViewId="0">
      <selection activeCell="G11" sqref="G11"/>
    </sheetView>
  </sheetViews>
  <sheetFormatPr defaultColWidth="9.140625" defaultRowHeight="16.5" x14ac:dyDescent="0.25"/>
  <cols>
    <col min="1" max="1" width="30.42578125" style="1" bestFit="1" customWidth="1"/>
    <col min="2" max="2" width="12.7109375" style="1" customWidth="1"/>
    <col min="3" max="3" width="11.5703125" style="1" customWidth="1"/>
    <col min="4" max="4" width="12.42578125" style="1" customWidth="1"/>
    <col min="5" max="16384" width="9.140625" style="1"/>
  </cols>
  <sheetData>
    <row r="1" spans="1:9" ht="20.25" customHeight="1" x14ac:dyDescent="0.25">
      <c r="A1" s="62" t="s">
        <v>527</v>
      </c>
      <c r="B1" s="63"/>
      <c r="C1" s="63"/>
      <c r="D1" s="63"/>
    </row>
    <row r="2" spans="1:9" x14ac:dyDescent="0.25">
      <c r="A2" s="64" t="s">
        <v>56</v>
      </c>
      <c r="B2" s="65">
        <v>2011</v>
      </c>
      <c r="C2" s="65"/>
      <c r="D2" s="65"/>
    </row>
    <row r="3" spans="1:9" x14ac:dyDescent="0.25">
      <c r="A3" s="64"/>
      <c r="B3" s="4" t="s">
        <v>526</v>
      </c>
      <c r="C3" s="4" t="s">
        <v>525</v>
      </c>
      <c r="D3" s="4" t="s">
        <v>524</v>
      </c>
    </row>
    <row r="4" spans="1:9" x14ac:dyDescent="0.25">
      <c r="A4" s="3" t="s">
        <v>28</v>
      </c>
      <c r="B4" s="2">
        <v>99.04</v>
      </c>
      <c r="C4" s="2">
        <v>99.03</v>
      </c>
      <c r="D4" s="2">
        <v>99.04</v>
      </c>
      <c r="F4" s="66" t="s">
        <v>49</v>
      </c>
      <c r="G4" s="66"/>
      <c r="H4" s="66"/>
      <c r="I4" s="66"/>
    </row>
    <row r="5" spans="1:9" x14ac:dyDescent="0.25">
      <c r="A5" s="3" t="s">
        <v>27</v>
      </c>
      <c r="B5" s="2">
        <v>98.28</v>
      </c>
      <c r="C5" s="2">
        <v>98.31</v>
      </c>
      <c r="D5" s="2">
        <v>98.3</v>
      </c>
    </row>
    <row r="6" spans="1:9" x14ac:dyDescent="0.25">
      <c r="A6" s="3" t="s">
        <v>11</v>
      </c>
      <c r="B6" s="2">
        <v>97.91</v>
      </c>
      <c r="C6" s="2">
        <v>97.08</v>
      </c>
      <c r="D6" s="2">
        <v>97.49</v>
      </c>
    </row>
    <row r="7" spans="1:9" x14ac:dyDescent="0.25">
      <c r="A7" s="3" t="s">
        <v>50</v>
      </c>
      <c r="B7" s="2">
        <v>97.07</v>
      </c>
      <c r="C7" s="2">
        <v>96.21</v>
      </c>
      <c r="D7" s="2">
        <v>96.66</v>
      </c>
    </row>
    <row r="8" spans="1:9" x14ac:dyDescent="0.25">
      <c r="A8" s="3" t="s">
        <v>32</v>
      </c>
      <c r="B8" s="2">
        <v>97.02</v>
      </c>
      <c r="C8" s="2">
        <v>95.77</v>
      </c>
      <c r="D8" s="2">
        <v>96.41</v>
      </c>
    </row>
    <row r="9" spans="1:9" x14ac:dyDescent="0.25">
      <c r="A9" s="3" t="s">
        <v>35</v>
      </c>
      <c r="B9" s="2">
        <v>96.65</v>
      </c>
      <c r="C9" s="2">
        <v>95.57</v>
      </c>
      <c r="D9" s="2">
        <v>96.15</v>
      </c>
    </row>
    <row r="10" spans="1:9" x14ac:dyDescent="0.25">
      <c r="A10" s="3" t="s">
        <v>7</v>
      </c>
      <c r="B10" s="2">
        <v>97.16</v>
      </c>
      <c r="C10" s="2">
        <v>94.99</v>
      </c>
      <c r="D10" s="2">
        <v>96.09</v>
      </c>
    </row>
    <row r="11" spans="1:9" x14ac:dyDescent="0.25">
      <c r="A11" s="3" t="s">
        <v>8</v>
      </c>
      <c r="B11" s="2">
        <v>94.98</v>
      </c>
      <c r="C11" s="2">
        <v>93.38</v>
      </c>
      <c r="D11" s="2">
        <v>94.2</v>
      </c>
    </row>
    <row r="12" spans="1:9" x14ac:dyDescent="0.25">
      <c r="A12" s="3" t="s">
        <v>5</v>
      </c>
      <c r="B12" s="2">
        <v>96.16</v>
      </c>
      <c r="C12" s="2">
        <v>92.45</v>
      </c>
      <c r="D12" s="2">
        <v>94.3</v>
      </c>
    </row>
    <row r="13" spans="1:9" x14ac:dyDescent="0.25">
      <c r="A13" s="3" t="s">
        <v>25</v>
      </c>
      <c r="B13" s="2">
        <v>95.01</v>
      </c>
      <c r="C13" s="2">
        <v>92.13</v>
      </c>
      <c r="D13" s="2">
        <v>93.66</v>
      </c>
    </row>
    <row r="14" spans="1:9" x14ac:dyDescent="0.25">
      <c r="A14" s="3" t="s">
        <v>523</v>
      </c>
      <c r="B14" s="2">
        <v>94.19</v>
      </c>
      <c r="C14" s="2">
        <v>91.93</v>
      </c>
      <c r="D14" s="2">
        <v>93.17</v>
      </c>
    </row>
    <row r="15" spans="1:9" x14ac:dyDescent="0.25">
      <c r="A15" s="3" t="s">
        <v>14</v>
      </c>
      <c r="B15" s="2">
        <v>95.12</v>
      </c>
      <c r="C15" s="2">
        <v>91.66</v>
      </c>
      <c r="D15" s="2">
        <v>93.4</v>
      </c>
    </row>
    <row r="16" spans="1:9" x14ac:dyDescent="0.25">
      <c r="A16" s="3" t="s">
        <v>44</v>
      </c>
      <c r="B16" s="2">
        <v>93.21</v>
      </c>
      <c r="C16" s="2">
        <v>91.11</v>
      </c>
      <c r="D16" s="2">
        <v>92.31</v>
      </c>
    </row>
    <row r="17" spans="1:4" ht="16.899999999999999" customHeight="1" x14ac:dyDescent="0.25">
      <c r="A17" s="3" t="s">
        <v>37</v>
      </c>
      <c r="B17" s="2">
        <v>93.1</v>
      </c>
      <c r="C17" s="2">
        <v>91.04</v>
      </c>
      <c r="D17" s="2">
        <v>92.5</v>
      </c>
    </row>
    <row r="18" spans="1:4" ht="16.899999999999999" customHeight="1" x14ac:dyDescent="0.25">
      <c r="A18" s="3" t="s">
        <v>3</v>
      </c>
      <c r="B18" s="2">
        <v>94</v>
      </c>
      <c r="C18" s="2">
        <v>89.95</v>
      </c>
      <c r="D18" s="2">
        <v>92.03</v>
      </c>
    </row>
    <row r="19" spans="1:4" ht="16.899999999999999" customHeight="1" x14ac:dyDescent="0.25">
      <c r="A19" s="3" t="s">
        <v>10</v>
      </c>
      <c r="B19" s="2">
        <v>90.44</v>
      </c>
      <c r="C19" s="2">
        <v>88.94</v>
      </c>
      <c r="D19" s="2">
        <v>89.75</v>
      </c>
    </row>
    <row r="20" spans="1:4" ht="16.899999999999999" customHeight="1" x14ac:dyDescent="0.25">
      <c r="A20" s="3" t="s">
        <v>29</v>
      </c>
      <c r="B20" s="2">
        <v>93.13</v>
      </c>
      <c r="C20" s="2">
        <v>88.28</v>
      </c>
      <c r="D20" s="2">
        <v>90.79</v>
      </c>
    </row>
    <row r="21" spans="1:4" ht="16.899999999999999" customHeight="1" x14ac:dyDescent="0.25">
      <c r="A21" s="3" t="s">
        <v>13</v>
      </c>
      <c r="B21" s="2">
        <v>89.1</v>
      </c>
      <c r="C21" s="2">
        <v>87.28</v>
      </c>
      <c r="D21" s="2">
        <v>88.21</v>
      </c>
    </row>
    <row r="22" spans="1:4" ht="16.899999999999999" customHeight="1" x14ac:dyDescent="0.25">
      <c r="A22" s="3" t="s">
        <v>33</v>
      </c>
      <c r="B22" s="2">
        <v>92.8</v>
      </c>
      <c r="C22" s="2">
        <v>86.54</v>
      </c>
      <c r="D22" s="2">
        <v>89.96</v>
      </c>
    </row>
    <row r="23" spans="1:4" ht="16.899999999999999" customHeight="1" x14ac:dyDescent="0.25">
      <c r="A23" s="3" t="s">
        <v>24</v>
      </c>
      <c r="B23" s="2">
        <v>90.27</v>
      </c>
      <c r="C23" s="2">
        <v>85.53</v>
      </c>
      <c r="D23" s="2">
        <v>87.9</v>
      </c>
    </row>
    <row r="24" spans="1:4" ht="16.899999999999999" customHeight="1" x14ac:dyDescent="0.25">
      <c r="A24" s="3" t="s">
        <v>17</v>
      </c>
      <c r="B24" s="2">
        <v>84.03</v>
      </c>
      <c r="C24" s="2">
        <v>85.48</v>
      </c>
      <c r="D24" s="2">
        <v>84.76</v>
      </c>
    </row>
    <row r="25" spans="1:4" x14ac:dyDescent="0.25">
      <c r="A25" s="3" t="s">
        <v>2</v>
      </c>
      <c r="B25" s="2">
        <v>89.18</v>
      </c>
      <c r="C25" s="2">
        <v>85.22</v>
      </c>
      <c r="D25" s="2">
        <v>87.25</v>
      </c>
    </row>
    <row r="26" spans="1:4" x14ac:dyDescent="0.25">
      <c r="A26" s="3" t="s">
        <v>34</v>
      </c>
      <c r="B26" s="2">
        <v>92.84</v>
      </c>
      <c r="C26" s="2">
        <v>85</v>
      </c>
      <c r="D26" s="2">
        <v>89.17</v>
      </c>
    </row>
    <row r="27" spans="1:4" x14ac:dyDescent="0.25">
      <c r="A27" s="3" t="s">
        <v>48</v>
      </c>
      <c r="B27" s="2">
        <v>90.77</v>
      </c>
      <c r="C27" s="2">
        <v>83.15</v>
      </c>
      <c r="D27" s="2">
        <v>87.02</v>
      </c>
    </row>
    <row r="28" spans="1:4" x14ac:dyDescent="0.25">
      <c r="A28" s="3" t="s">
        <v>41</v>
      </c>
      <c r="B28" s="2">
        <v>92</v>
      </c>
      <c r="C28" s="2">
        <v>82.84</v>
      </c>
      <c r="D28" s="2">
        <v>87.45</v>
      </c>
    </row>
    <row r="29" spans="1:4" x14ac:dyDescent="0.25">
      <c r="A29" s="3" t="s">
        <v>1</v>
      </c>
      <c r="B29" s="2">
        <v>90.04</v>
      </c>
      <c r="C29" s="2">
        <v>81.849999999999994</v>
      </c>
      <c r="D29" s="2">
        <v>86.14</v>
      </c>
    </row>
    <row r="30" spans="1:4" x14ac:dyDescent="0.25">
      <c r="A30" s="3" t="s">
        <v>12</v>
      </c>
      <c r="B30" s="2">
        <v>90.93</v>
      </c>
      <c r="C30" s="2">
        <v>81.16</v>
      </c>
      <c r="D30" s="2">
        <v>86.03</v>
      </c>
    </row>
    <row r="31" spans="1:4" x14ac:dyDescent="0.25">
      <c r="A31" s="3" t="s">
        <v>46</v>
      </c>
      <c r="B31" s="2">
        <v>85.21</v>
      </c>
      <c r="C31" s="2">
        <v>79.569999999999993</v>
      </c>
      <c r="D31" s="2">
        <v>82.41</v>
      </c>
    </row>
    <row r="32" spans="1:4" x14ac:dyDescent="0.25">
      <c r="A32" s="3" t="s">
        <v>26</v>
      </c>
      <c r="B32" s="2">
        <v>89.09</v>
      </c>
      <c r="C32" s="2">
        <v>77.599999999999994</v>
      </c>
      <c r="D32" s="2">
        <v>83.71</v>
      </c>
    </row>
    <row r="33" spans="1:4" x14ac:dyDescent="0.25">
      <c r="A33" s="3" t="s">
        <v>47</v>
      </c>
      <c r="B33" s="2">
        <v>84.88</v>
      </c>
      <c r="C33" s="2">
        <v>76.44</v>
      </c>
      <c r="D33" s="2">
        <v>80.69</v>
      </c>
    </row>
    <row r="34" spans="1:4" x14ac:dyDescent="0.25">
      <c r="A34" s="3" t="s">
        <v>38</v>
      </c>
      <c r="B34" s="2">
        <v>93.32</v>
      </c>
      <c r="C34" s="2">
        <v>76.349999999999994</v>
      </c>
      <c r="D34" s="2">
        <v>86.78</v>
      </c>
    </row>
    <row r="35" spans="1:4" x14ac:dyDescent="0.25">
      <c r="A35" s="3" t="s">
        <v>31</v>
      </c>
      <c r="B35" s="2">
        <v>89.56</v>
      </c>
      <c r="C35" s="2">
        <v>76.25</v>
      </c>
      <c r="D35" s="2">
        <v>83.15</v>
      </c>
    </row>
    <row r="36" spans="1:4" x14ac:dyDescent="0.25">
      <c r="A36" s="3" t="s">
        <v>4</v>
      </c>
      <c r="B36" s="2">
        <v>86.63</v>
      </c>
      <c r="C36" s="2">
        <v>75.77</v>
      </c>
      <c r="D36" s="2">
        <v>81.569999999999993</v>
      </c>
    </row>
    <row r="37" spans="1:4" x14ac:dyDescent="0.25">
      <c r="A37" s="3" t="s">
        <v>30</v>
      </c>
      <c r="B37" s="2">
        <v>87.21</v>
      </c>
      <c r="C37" s="2">
        <v>71.36</v>
      </c>
      <c r="D37" s="2">
        <v>79.62</v>
      </c>
    </row>
    <row r="38" spans="1:4" x14ac:dyDescent="0.25">
      <c r="A38" s="3" t="s">
        <v>9</v>
      </c>
      <c r="B38" s="2">
        <v>91.03</v>
      </c>
      <c r="C38" s="2">
        <v>71.3</v>
      </c>
      <c r="D38" s="2">
        <v>81.73</v>
      </c>
    </row>
    <row r="39" spans="1:4" x14ac:dyDescent="0.25">
      <c r="A39" s="3" t="s">
        <v>45</v>
      </c>
      <c r="B39" s="2">
        <v>79.56</v>
      </c>
      <c r="C39" s="2">
        <v>63.69</v>
      </c>
      <c r="D39" s="2">
        <v>72.290000000000006</v>
      </c>
    </row>
    <row r="40" spans="1:4" ht="36.75" customHeight="1" x14ac:dyDescent="0.25">
      <c r="A40" s="61" t="s">
        <v>522</v>
      </c>
      <c r="B40" s="61"/>
      <c r="C40" s="61"/>
      <c r="D40" s="61"/>
    </row>
  </sheetData>
  <mergeCells count="5">
    <mergeCell ref="A40:D40"/>
    <mergeCell ref="A1:D1"/>
    <mergeCell ref="A2:A3"/>
    <mergeCell ref="B2:D2"/>
    <mergeCell ref="F4:I4"/>
  </mergeCells>
  <hyperlinks>
    <hyperlink ref="F4:I4" location="'SDG 4 - Index'!A1" display="Return to Index Page" xr:uid="{DA4FD709-66FA-43BB-BA48-B607F898BFF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D710F-DF75-41FF-B7D0-778821905682}">
  <sheetPr codeName="Sheet17"/>
  <dimension ref="A1:K41"/>
  <sheetViews>
    <sheetView workbookViewId="0">
      <selection activeCell="A2" sqref="A2:F40"/>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16384" width="9.140625" style="1"/>
  </cols>
  <sheetData>
    <row r="1" spans="1:11" ht="16.5" customHeight="1" x14ac:dyDescent="0.25">
      <c r="A1" s="65" t="s">
        <v>57</v>
      </c>
      <c r="B1" s="70"/>
      <c r="C1" s="70"/>
      <c r="D1" s="70"/>
      <c r="E1" s="70"/>
      <c r="F1" s="70"/>
    </row>
    <row r="2" spans="1:11" ht="16.5" customHeight="1" x14ac:dyDescent="0.25">
      <c r="A2" s="64" t="s">
        <v>56</v>
      </c>
      <c r="B2" s="70" t="s">
        <v>521</v>
      </c>
      <c r="C2" s="70"/>
      <c r="D2" s="70"/>
      <c r="E2" s="70"/>
      <c r="F2" s="70"/>
    </row>
    <row r="3" spans="1:11" x14ac:dyDescent="0.25">
      <c r="A3" s="64"/>
      <c r="B3" s="4" t="s">
        <v>16</v>
      </c>
      <c r="C3" s="4" t="s">
        <v>54</v>
      </c>
      <c r="D3" s="4" t="s">
        <v>53</v>
      </c>
      <c r="E3" s="4" t="s">
        <v>52</v>
      </c>
      <c r="F3" s="4" t="s">
        <v>51</v>
      </c>
    </row>
    <row r="4" spans="1:11" x14ac:dyDescent="0.25">
      <c r="A4" s="3" t="s">
        <v>50</v>
      </c>
      <c r="B4" s="2">
        <v>0.71392659627953747</v>
      </c>
      <c r="C4" s="2">
        <v>0.88185353563016922</v>
      </c>
      <c r="D4" s="2">
        <v>0.77767612076852699</v>
      </c>
      <c r="E4" s="2">
        <v>0.80020215633423186</v>
      </c>
      <c r="F4" s="2">
        <v>0.36540803897685747</v>
      </c>
      <c r="H4" s="51" t="s">
        <v>49</v>
      </c>
      <c r="I4" s="51"/>
      <c r="J4" s="51"/>
      <c r="K4" s="51"/>
    </row>
    <row r="5" spans="1:11" x14ac:dyDescent="0.25">
      <c r="A5" s="3" t="s">
        <v>48</v>
      </c>
      <c r="B5" s="2">
        <v>1.3264498468075423</v>
      </c>
      <c r="C5" s="2">
        <v>1.6759123000188128</v>
      </c>
      <c r="D5" s="2">
        <v>1.4547060385231085</v>
      </c>
      <c r="E5" s="2">
        <v>1.3025333937840504</v>
      </c>
      <c r="F5" s="2">
        <v>0.2231237817954442</v>
      </c>
    </row>
    <row r="6" spans="1:11" x14ac:dyDescent="0.25">
      <c r="A6" s="3" t="s">
        <v>47</v>
      </c>
      <c r="B6" s="2">
        <v>0.91599088730715206</v>
      </c>
      <c r="C6" s="2">
        <v>0.90513212193064452</v>
      </c>
      <c r="D6" s="2">
        <v>0.91228670534617118</v>
      </c>
      <c r="E6" s="2">
        <v>0.49940197662463015</v>
      </c>
      <c r="F6" s="2">
        <v>0.24771573604060915</v>
      </c>
    </row>
    <row r="7" spans="1:11" x14ac:dyDescent="0.25">
      <c r="A7" s="3" t="s">
        <v>46</v>
      </c>
      <c r="B7" s="2">
        <v>1.186625838991556</v>
      </c>
      <c r="C7" s="2">
        <v>0.87936916980508506</v>
      </c>
      <c r="D7" s="2">
        <v>1.0835794161566163</v>
      </c>
      <c r="E7" s="2">
        <v>0.45803365322824674</v>
      </c>
      <c r="F7" s="2">
        <v>0.25523602202539525</v>
      </c>
    </row>
    <row r="8" spans="1:11" x14ac:dyDescent="0.25">
      <c r="A8" s="3" t="s">
        <v>45</v>
      </c>
      <c r="B8" s="2">
        <v>0.5525479094392608</v>
      </c>
      <c r="C8" s="2">
        <v>0.471706144263701</v>
      </c>
      <c r="D8" s="2">
        <v>0.52535724008532458</v>
      </c>
      <c r="E8" s="2">
        <v>0.13147413635474986</v>
      </c>
      <c r="F8" s="2">
        <v>7.4594178841828701E-2</v>
      </c>
    </row>
    <row r="9" spans="1:11" x14ac:dyDescent="0.25">
      <c r="A9" s="3" t="s">
        <v>44</v>
      </c>
      <c r="B9" s="2">
        <v>1.6624027345781893</v>
      </c>
      <c r="C9" s="2">
        <v>2.9531739362921092</v>
      </c>
      <c r="D9" s="2">
        <v>2.1915869118605</v>
      </c>
      <c r="E9" s="2">
        <v>2.3785050080080321</v>
      </c>
      <c r="F9" s="2">
        <v>0.75340622783200017</v>
      </c>
    </row>
    <row r="10" spans="1:11" x14ac:dyDescent="0.25">
      <c r="A10" s="3" t="s">
        <v>41</v>
      </c>
      <c r="B10" s="2">
        <v>0.92061506341698773</v>
      </c>
      <c r="C10" s="2">
        <v>0.8217108827262769</v>
      </c>
      <c r="D10" s="2">
        <v>0.88448510847088657</v>
      </c>
      <c r="E10" s="2">
        <v>0.4773743775272683</v>
      </c>
      <c r="F10" s="2">
        <v>0.31615243692922917</v>
      </c>
    </row>
    <row r="11" spans="1:11" x14ac:dyDescent="0.25">
      <c r="A11" s="3" t="s">
        <v>38</v>
      </c>
      <c r="B11" s="2">
        <v>2.6344967219436946</v>
      </c>
      <c r="C11" s="2">
        <v>2.7173363019937251</v>
      </c>
      <c r="D11" s="2">
        <v>2.6612244897959183</v>
      </c>
      <c r="E11" s="2">
        <v>3.0012535948676353</v>
      </c>
      <c r="F11" s="2">
        <v>2.0042757883484765</v>
      </c>
    </row>
    <row r="12" spans="1:11" x14ac:dyDescent="0.25">
      <c r="A12" s="3" t="s">
        <v>37</v>
      </c>
      <c r="B12" s="2">
        <v>0.31448189108443841</v>
      </c>
      <c r="C12" s="2">
        <v>0.64435468359299863</v>
      </c>
      <c r="D12" s="2">
        <v>0.43084438714930284</v>
      </c>
      <c r="E12" s="2">
        <v>0.44303797468354433</v>
      </c>
      <c r="F12" s="2">
        <v>5.4749520941691755E-2</v>
      </c>
    </row>
    <row r="13" spans="1:11" x14ac:dyDescent="0.25">
      <c r="A13" s="3" t="s">
        <v>36</v>
      </c>
      <c r="B13" s="2">
        <v>0.4785140005544774</v>
      </c>
      <c r="C13" s="2">
        <v>0.73835850309496387</v>
      </c>
      <c r="D13" s="2">
        <v>0.57824935136992994</v>
      </c>
      <c r="E13" s="2">
        <v>0.77930925048424693</v>
      </c>
      <c r="F13" s="2">
        <v>0.47586438070795617</v>
      </c>
    </row>
    <row r="14" spans="1:11" x14ac:dyDescent="0.25">
      <c r="A14" s="3" t="s">
        <v>35</v>
      </c>
      <c r="B14" s="2">
        <v>0.56343940201159171</v>
      </c>
      <c r="C14" s="2">
        <v>1.182650749753325</v>
      </c>
      <c r="D14" s="2">
        <v>0.79095583617154919</v>
      </c>
      <c r="E14" s="2">
        <v>0.9860499875446318</v>
      </c>
      <c r="F14" s="2">
        <v>9.9648607541826195E-2</v>
      </c>
    </row>
    <row r="15" spans="1:11" x14ac:dyDescent="0.25">
      <c r="A15" s="3" t="s">
        <v>34</v>
      </c>
      <c r="B15" s="2">
        <v>0.92147545328176672</v>
      </c>
      <c r="C15" s="2">
        <v>1.1350377424766829</v>
      </c>
      <c r="D15" s="2">
        <v>1.0016492816610667</v>
      </c>
      <c r="E15" s="2">
        <v>0.52313854342642185</v>
      </c>
      <c r="F15" s="2">
        <v>0.41652325646546551</v>
      </c>
    </row>
    <row r="16" spans="1:11" x14ac:dyDescent="0.25">
      <c r="A16" s="3" t="s">
        <v>33</v>
      </c>
      <c r="B16" s="2">
        <v>0.56531851787275933</v>
      </c>
      <c r="C16" s="2">
        <v>0.71107992560333999</v>
      </c>
      <c r="D16" s="2">
        <v>0.61835412333508033</v>
      </c>
      <c r="E16" s="2">
        <v>0.49433269220632786</v>
      </c>
      <c r="F16" s="2">
        <v>0.22962982930231618</v>
      </c>
    </row>
    <row r="17" spans="1:6" x14ac:dyDescent="0.25">
      <c r="A17" s="3" t="s">
        <v>32</v>
      </c>
      <c r="B17" s="2">
        <v>0.70486447762016535</v>
      </c>
      <c r="C17" s="2">
        <v>0.87112612850430282</v>
      </c>
      <c r="D17" s="2">
        <v>0.76637041200411882</v>
      </c>
      <c r="E17" s="2">
        <v>0.70241263470180193</v>
      </c>
      <c r="F17" s="2">
        <v>0.32038006457504725</v>
      </c>
    </row>
    <row r="18" spans="1:6" x14ac:dyDescent="0.25">
      <c r="A18" s="3" t="s">
        <v>31</v>
      </c>
      <c r="B18" s="2">
        <v>1.3830432373858197</v>
      </c>
      <c r="C18" s="2">
        <v>1.3980675545966663</v>
      </c>
      <c r="D18" s="2">
        <v>1.3882120544898131</v>
      </c>
      <c r="E18" s="2">
        <v>1.0475093229845678</v>
      </c>
      <c r="F18" s="2">
        <v>0.45659392789373815</v>
      </c>
    </row>
    <row r="19" spans="1:6" x14ac:dyDescent="0.25">
      <c r="A19" s="3" t="s">
        <v>30</v>
      </c>
      <c r="B19" s="2">
        <v>0.97359781437529269</v>
      </c>
      <c r="C19" s="2">
        <v>0.90215674904542442</v>
      </c>
      <c r="D19" s="2">
        <v>0.94994924803571723</v>
      </c>
      <c r="E19" s="2">
        <v>0.30725220621139321</v>
      </c>
      <c r="F19" s="2">
        <v>0.1693715475193856</v>
      </c>
    </row>
    <row r="20" spans="1:6" x14ac:dyDescent="0.25">
      <c r="A20" s="3" t="s">
        <v>29</v>
      </c>
      <c r="B20" s="2">
        <v>0.95289361950370599</v>
      </c>
      <c r="C20" s="2">
        <v>1.216971327220701</v>
      </c>
      <c r="D20" s="2">
        <v>1.0475094230482163</v>
      </c>
      <c r="E20" s="2">
        <v>0.81599097910585383</v>
      </c>
      <c r="F20" s="2">
        <v>0.35648985178602438</v>
      </c>
    </row>
    <row r="21" spans="1:6" x14ac:dyDescent="0.25">
      <c r="A21" s="3" t="s">
        <v>28</v>
      </c>
      <c r="B21" s="2">
        <v>2.0878959898940832</v>
      </c>
      <c r="C21" s="2">
        <v>2.8494725483151946</v>
      </c>
      <c r="D21" s="2">
        <v>2.3740976944443459</v>
      </c>
      <c r="E21" s="2">
        <v>2.8466807020845342</v>
      </c>
      <c r="F21" s="2">
        <v>1.6152950273950644</v>
      </c>
    </row>
    <row r="22" spans="1:6" x14ac:dyDescent="0.25">
      <c r="A22" s="3" t="s">
        <v>27</v>
      </c>
      <c r="B22" s="2">
        <v>1.5928837401737692</v>
      </c>
      <c r="C22" s="2">
        <v>1.7501988862370723</v>
      </c>
      <c r="D22" s="2">
        <v>1.6467065868263475</v>
      </c>
      <c r="E22" s="2">
        <v>2.4505183788878417</v>
      </c>
      <c r="F22" s="2">
        <v>1.0430839002267573</v>
      </c>
    </row>
    <row r="23" spans="1:6" x14ac:dyDescent="0.25">
      <c r="A23" s="3" t="s">
        <v>26</v>
      </c>
      <c r="B23" s="2">
        <v>0.84392062505783905</v>
      </c>
      <c r="C23" s="2">
        <v>1.0650099425191466</v>
      </c>
      <c r="D23" s="2">
        <v>0.92323106371268449</v>
      </c>
      <c r="E23" s="2">
        <v>0.38562503038750956</v>
      </c>
      <c r="F23" s="2">
        <v>0.25621690414852732</v>
      </c>
    </row>
    <row r="24" spans="1:6" x14ac:dyDescent="0.25">
      <c r="A24" s="3" t="s">
        <v>25</v>
      </c>
      <c r="B24" s="2">
        <v>1.7263372975779914</v>
      </c>
      <c r="C24" s="2">
        <v>1.6303568057390976</v>
      </c>
      <c r="D24" s="2">
        <v>1.6908249985458521</v>
      </c>
      <c r="E24" s="2">
        <v>1.2993615997795451</v>
      </c>
      <c r="F24" s="2">
        <v>0.41882050826964246</v>
      </c>
    </row>
    <row r="25" spans="1:6" x14ac:dyDescent="0.25">
      <c r="A25" s="3" t="s">
        <v>24</v>
      </c>
      <c r="B25" s="2">
        <v>0.9376626328729265</v>
      </c>
      <c r="C25" s="2">
        <v>0.60036124520321654</v>
      </c>
      <c r="D25" s="2">
        <v>0.83055223865364392</v>
      </c>
      <c r="E25" s="2">
        <v>0.48246078535201986</v>
      </c>
      <c r="F25" s="2">
        <v>0.12107870115575124</v>
      </c>
    </row>
    <row r="26" spans="1:6" x14ac:dyDescent="0.25">
      <c r="A26" s="3" t="s">
        <v>17</v>
      </c>
      <c r="B26" s="2">
        <v>0.57445078237197422</v>
      </c>
      <c r="C26" s="2">
        <v>0.47309080235509438</v>
      </c>
      <c r="D26" s="2">
        <v>0.54321729889055448</v>
      </c>
      <c r="E26" s="2">
        <v>0.25594970812752582</v>
      </c>
      <c r="F26" s="2">
        <v>0.10121110234329433</v>
      </c>
    </row>
    <row r="27" spans="1:6" x14ac:dyDescent="0.25">
      <c r="A27" s="3" t="s">
        <v>14</v>
      </c>
      <c r="B27" s="2">
        <v>1.5085452636490901</v>
      </c>
      <c r="C27" s="2">
        <v>2.2134946430721079</v>
      </c>
      <c r="D27" s="2">
        <v>1.73863502416408</v>
      </c>
      <c r="E27" s="2">
        <v>2.2840914607505218</v>
      </c>
      <c r="F27" s="2">
        <v>1.1075559931085406</v>
      </c>
    </row>
    <row r="28" spans="1:6" x14ac:dyDescent="0.25">
      <c r="A28" s="3" t="s">
        <v>13</v>
      </c>
      <c r="B28" s="2">
        <v>0.6955231369534699</v>
      </c>
      <c r="C28" s="2">
        <v>1.0168306447585276</v>
      </c>
      <c r="D28" s="2">
        <v>0.80742791940331737</v>
      </c>
      <c r="E28" s="2">
        <v>0.8686948128552533</v>
      </c>
      <c r="F28" s="2">
        <v>0.3100398188394784</v>
      </c>
    </row>
    <row r="29" spans="1:6" x14ac:dyDescent="0.25">
      <c r="A29" s="3" t="s">
        <v>12</v>
      </c>
      <c r="B29" s="2">
        <v>1.5594339708986646</v>
      </c>
      <c r="C29" s="2">
        <v>1.9103045871663151</v>
      </c>
      <c r="D29" s="2">
        <v>1.6896225819360282</v>
      </c>
      <c r="E29" s="2">
        <v>1.2438447742355609</v>
      </c>
      <c r="F29" s="2">
        <v>2.4146917274518874E-3</v>
      </c>
    </row>
    <row r="30" spans="1:6" x14ac:dyDescent="0.25">
      <c r="A30" s="3" t="s">
        <v>11</v>
      </c>
      <c r="B30" s="2">
        <v>0.82090358310666844</v>
      </c>
      <c r="C30" s="2">
        <v>0.98178088213744941</v>
      </c>
      <c r="D30" s="2">
        <v>0.88142694385573761</v>
      </c>
      <c r="E30" s="2">
        <v>1.2526748575412952</v>
      </c>
      <c r="F30" s="2">
        <v>0.938788640949902</v>
      </c>
    </row>
    <row r="31" spans="1:6" x14ac:dyDescent="0.25">
      <c r="A31" s="3" t="s">
        <v>10</v>
      </c>
      <c r="B31" s="2">
        <v>1.549922887467718</v>
      </c>
      <c r="C31" s="2">
        <v>1.6243729670701867</v>
      </c>
      <c r="D31" s="2">
        <v>1.577661123503588</v>
      </c>
      <c r="E31" s="2">
        <v>1.1934147235583599</v>
      </c>
      <c r="F31" s="2">
        <v>0.79602872859391038</v>
      </c>
    </row>
    <row r="32" spans="1:6" x14ac:dyDescent="0.25">
      <c r="A32" s="3" t="s">
        <v>9</v>
      </c>
      <c r="B32" s="2">
        <v>0.46480165394767181</v>
      </c>
      <c r="C32" s="2">
        <v>0.51034132252406361</v>
      </c>
      <c r="D32" s="2">
        <v>0.47996112576496719</v>
      </c>
      <c r="E32" s="2">
        <v>0.35775297785031202</v>
      </c>
      <c r="F32" s="2">
        <v>0.22668740085907282</v>
      </c>
    </row>
    <row r="33" spans="1:6" x14ac:dyDescent="0.25">
      <c r="A33" s="3" t="s">
        <v>8</v>
      </c>
      <c r="B33" s="2">
        <v>0.96785901520345197</v>
      </c>
      <c r="C33" s="2">
        <v>0.83237657864523529</v>
      </c>
      <c r="D33" s="2">
        <v>0.91195489968496102</v>
      </c>
      <c r="E33" s="2">
        <v>0.49779601763185893</v>
      </c>
      <c r="F33" s="2">
        <v>0.28217396638449271</v>
      </c>
    </row>
    <row r="34" spans="1:6" x14ac:dyDescent="0.25">
      <c r="A34" s="3" t="s">
        <v>7</v>
      </c>
      <c r="B34" s="2">
        <v>1.0224816643086259</v>
      </c>
      <c r="C34" s="2">
        <v>1.2494648998187272</v>
      </c>
      <c r="D34" s="2">
        <v>1.10683635543476</v>
      </c>
      <c r="E34" s="2">
        <v>0.52099371280008422</v>
      </c>
      <c r="F34" s="2">
        <v>0.31516949781173503</v>
      </c>
    </row>
    <row r="35" spans="1:6" x14ac:dyDescent="0.25">
      <c r="A35" s="3" t="s">
        <v>6</v>
      </c>
      <c r="B35" s="2">
        <v>0.8020339993742045</v>
      </c>
      <c r="C35" s="2">
        <v>0.79232037699794722</v>
      </c>
      <c r="D35" s="2">
        <v>0.79858011433745002</v>
      </c>
      <c r="E35" s="2">
        <v>0.74353041046825286</v>
      </c>
      <c r="F35" s="2">
        <v>0.21790083501851354</v>
      </c>
    </row>
    <row r="36" spans="1:6" x14ac:dyDescent="0.25">
      <c r="A36" s="3" t="s">
        <v>5</v>
      </c>
      <c r="B36" s="2">
        <v>0.51481527305427888</v>
      </c>
      <c r="C36" s="2">
        <v>0.60450316921535996</v>
      </c>
      <c r="D36" s="2">
        <v>0.54832685648617174</v>
      </c>
      <c r="E36" s="2">
        <v>0.45449070542417797</v>
      </c>
      <c r="F36" s="2">
        <v>0.23268019594121764</v>
      </c>
    </row>
    <row r="37" spans="1:6" x14ac:dyDescent="0.25">
      <c r="A37" s="3" t="s">
        <v>4</v>
      </c>
      <c r="B37" s="2">
        <v>0.76164954378528182</v>
      </c>
      <c r="C37" s="2">
        <v>0.56144625782417856</v>
      </c>
      <c r="D37" s="2">
        <v>0.6980281654888707</v>
      </c>
      <c r="E37" s="2">
        <v>0.11177273393109829</v>
      </c>
      <c r="F37" s="2">
        <v>9.7065831014820941E-2</v>
      </c>
    </row>
    <row r="38" spans="1:6" x14ac:dyDescent="0.25">
      <c r="A38" s="3" t="s">
        <v>3</v>
      </c>
      <c r="B38" s="2">
        <v>0.31057187803200859</v>
      </c>
      <c r="C38" s="2">
        <v>0.29330462165728921</v>
      </c>
      <c r="D38" s="2">
        <v>0.30438630642481812</v>
      </c>
      <c r="E38" s="2">
        <v>0.19506812866577622</v>
      </c>
      <c r="F38" s="2">
        <v>0.14421335374647154</v>
      </c>
    </row>
    <row r="39" spans="1:6" x14ac:dyDescent="0.25">
      <c r="A39" s="3" t="s">
        <v>2</v>
      </c>
      <c r="B39" s="2">
        <v>0.96753392601503285</v>
      </c>
      <c r="C39" s="2">
        <v>0.94275371591082646</v>
      </c>
      <c r="D39" s="2">
        <v>0.95906601601084585</v>
      </c>
      <c r="E39" s="2">
        <v>0.71845715162462631</v>
      </c>
      <c r="F39" s="2">
        <v>0.35972400466388321</v>
      </c>
    </row>
    <row r="40" spans="1:6" x14ac:dyDescent="0.25">
      <c r="A40" s="3" t="s">
        <v>1</v>
      </c>
      <c r="B40" s="2">
        <v>0.94678897983758981</v>
      </c>
      <c r="C40" s="2">
        <v>1.0063247675409781</v>
      </c>
      <c r="D40" s="2">
        <v>0.96752744144686076</v>
      </c>
      <c r="E40" s="2">
        <v>0.64638260853369145</v>
      </c>
      <c r="F40" s="2">
        <v>0.30834109955781625</v>
      </c>
    </row>
    <row r="41" spans="1:6" x14ac:dyDescent="0.25">
      <c r="A41" s="67" t="s">
        <v>0</v>
      </c>
      <c r="B41" s="68"/>
      <c r="C41" s="68"/>
      <c r="D41" s="68"/>
      <c r="E41" s="68"/>
      <c r="F41" s="69"/>
    </row>
  </sheetData>
  <mergeCells count="5">
    <mergeCell ref="A41:F41"/>
    <mergeCell ref="A1:F1"/>
    <mergeCell ref="A2:A3"/>
    <mergeCell ref="B2:F2"/>
    <mergeCell ref="H4:K4"/>
  </mergeCells>
  <hyperlinks>
    <hyperlink ref="H4:K4" location="'SDG 4 - Index'!A1" display="Return to Index Page" xr:uid="{1A7DBE3B-B286-4D0C-92DE-431633485E2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6DAF3-F9A3-4A6F-8F5B-1121B77EB3E1}">
  <sheetPr codeName="Sheet16"/>
  <dimension ref="A3:E4"/>
  <sheetViews>
    <sheetView workbookViewId="0">
      <selection activeCell="A3" sqref="A3"/>
    </sheetView>
  </sheetViews>
  <sheetFormatPr defaultRowHeight="15" x14ac:dyDescent="0.25"/>
  <cols>
    <col min="1" max="1" width="14.5703125" bestFit="1" customWidth="1"/>
    <col min="2" max="2" width="20.7109375" bestFit="1" customWidth="1"/>
    <col min="3" max="3" width="18" bestFit="1" customWidth="1"/>
    <col min="4" max="4" width="16.85546875" bestFit="1" customWidth="1"/>
    <col min="5" max="5" width="23.42578125" bestFit="1" customWidth="1"/>
  </cols>
  <sheetData>
    <row r="3" spans="1:5" x14ac:dyDescent="0.25">
      <c r="A3" t="s">
        <v>516</v>
      </c>
      <c r="B3" t="s">
        <v>517</v>
      </c>
      <c r="C3" t="s">
        <v>518</v>
      </c>
      <c r="D3" t="s">
        <v>519</v>
      </c>
      <c r="E3" t="s">
        <v>520</v>
      </c>
    </row>
    <row r="4" spans="1:5" x14ac:dyDescent="0.25">
      <c r="A4" s="34">
        <v>37.426699856036279</v>
      </c>
      <c r="B4" s="34">
        <v>43.014107421256959</v>
      </c>
      <c r="C4" s="34">
        <v>39.541066903287721</v>
      </c>
      <c r="D4" s="34">
        <v>33.957373168567479</v>
      </c>
      <c r="E4" s="34">
        <v>15.713653399279632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319B-9236-4B6F-B830-F9AC957DB599}">
  <sheetPr codeName="Sheet10"/>
  <dimension ref="A2:P292"/>
  <sheetViews>
    <sheetView topLeftCell="A249" zoomScale="67" workbookViewId="0">
      <selection activeCell="B286" sqref="B286"/>
    </sheetView>
  </sheetViews>
  <sheetFormatPr defaultRowHeight="15" x14ac:dyDescent="0.25"/>
  <cols>
    <col min="1" max="1" width="20.140625" bestFit="1" customWidth="1"/>
    <col min="2" max="2" width="22.85546875" bestFit="1" customWidth="1"/>
    <col min="3" max="3" width="135.42578125" bestFit="1" customWidth="1"/>
    <col min="4" max="4" width="17.140625" bestFit="1" customWidth="1"/>
    <col min="5" max="5" width="15.85546875" customWidth="1"/>
    <col min="6" max="6" width="24.5703125" bestFit="1" customWidth="1"/>
    <col min="7" max="7" width="28.7109375" bestFit="1" customWidth="1"/>
    <col min="8" max="8" width="21.140625" bestFit="1" customWidth="1"/>
    <col min="9" max="9" width="17.28515625" customWidth="1"/>
    <col min="10" max="15" width="21.7109375" bestFit="1" customWidth="1"/>
    <col min="16" max="16" width="24.85546875" bestFit="1" customWidth="1"/>
    <col min="17" max="17" width="29.140625" bestFit="1" customWidth="1"/>
    <col min="18" max="18" width="21.7109375" bestFit="1" customWidth="1"/>
  </cols>
  <sheetData>
    <row r="2" spans="1:6" x14ac:dyDescent="0.25">
      <c r="C2" t="s">
        <v>215</v>
      </c>
    </row>
    <row r="3" spans="1:6" x14ac:dyDescent="0.25">
      <c r="C3" s="32" t="s">
        <v>214</v>
      </c>
    </row>
    <row r="4" spans="1:6" x14ac:dyDescent="0.25">
      <c r="A4" t="s">
        <v>198</v>
      </c>
      <c r="B4" t="s">
        <v>16</v>
      </c>
      <c r="C4" t="s">
        <v>52</v>
      </c>
      <c r="D4" t="s">
        <v>213</v>
      </c>
      <c r="E4" t="s">
        <v>212</v>
      </c>
      <c r="F4" t="s">
        <v>211</v>
      </c>
    </row>
    <row r="5" spans="1:6" x14ac:dyDescent="0.25">
      <c r="A5" t="s">
        <v>562</v>
      </c>
      <c r="B5">
        <f>VLOOKUP(A5,'disablites 2016'!A4:F40,2,FALSE)</f>
        <v>1.94</v>
      </c>
      <c r="C5">
        <f>VLOOKUP(A5,'disablites 2016'!A4:F40,3,TRUE)</f>
        <v>2.4500000000000002</v>
      </c>
      <c r="D5">
        <f>VLOOKUP(A5,'disablites 2016'!A4:F40,4,FALSE)</f>
        <v>2.13</v>
      </c>
      <c r="E5">
        <f>VLOOKUP(A5,'disablites 2016'!A4:F40,5,FALSE)</f>
        <v>1.03</v>
      </c>
      <c r="F5">
        <f>VLOOKUP(A5,'disablites 2016'!A4:F40,6,FALSE)</f>
        <v>0.28000000000000003</v>
      </c>
    </row>
    <row r="6" spans="1:6" x14ac:dyDescent="0.25">
      <c r="A6" t="s">
        <v>23</v>
      </c>
      <c r="B6" t="s">
        <v>22</v>
      </c>
      <c r="C6" t="s">
        <v>201</v>
      </c>
    </row>
    <row r="7" spans="1:6" x14ac:dyDescent="0.25">
      <c r="A7">
        <v>1001</v>
      </c>
      <c r="B7" t="s">
        <v>175</v>
      </c>
      <c r="C7">
        <v>500</v>
      </c>
      <c r="D7" t="s">
        <v>210</v>
      </c>
      <c r="E7" t="s">
        <v>209</v>
      </c>
    </row>
    <row r="8" spans="1:6" x14ac:dyDescent="0.25">
      <c r="A8">
        <v>1005</v>
      </c>
      <c r="B8" t="s">
        <v>172</v>
      </c>
      <c r="C8">
        <v>1200</v>
      </c>
      <c r="D8">
        <v>1040</v>
      </c>
      <c r="E8">
        <f>VLOOKUP(D8,Table8[#All],3,TRUE)</f>
        <v>55000</v>
      </c>
    </row>
    <row r="9" spans="1:6" x14ac:dyDescent="0.25">
      <c r="A9">
        <v>1010</v>
      </c>
      <c r="B9" t="s">
        <v>208</v>
      </c>
      <c r="C9">
        <v>25000</v>
      </c>
      <c r="D9">
        <v>1007</v>
      </c>
    </row>
    <row r="10" spans="1:6" x14ac:dyDescent="0.25">
      <c r="A10">
        <v>1020</v>
      </c>
      <c r="B10" t="s">
        <v>207</v>
      </c>
      <c r="C10">
        <v>1000</v>
      </c>
    </row>
    <row r="11" spans="1:6" x14ac:dyDescent="0.25">
      <c r="A11">
        <v>1030</v>
      </c>
      <c r="B11" t="s">
        <v>206</v>
      </c>
      <c r="C11">
        <v>7000</v>
      </c>
    </row>
    <row r="12" spans="1:6" x14ac:dyDescent="0.25">
      <c r="A12">
        <v>1040</v>
      </c>
      <c r="B12" t="s">
        <v>177</v>
      </c>
      <c r="C12">
        <v>55000</v>
      </c>
    </row>
    <row r="13" spans="1:6" x14ac:dyDescent="0.25">
      <c r="A13" t="s">
        <v>205</v>
      </c>
      <c r="B13" t="s">
        <v>204</v>
      </c>
      <c r="C13" t="s">
        <v>203</v>
      </c>
    </row>
    <row r="15" spans="1:6" x14ac:dyDescent="0.25">
      <c r="A15" t="s">
        <v>23</v>
      </c>
      <c r="B15" t="s">
        <v>22</v>
      </c>
      <c r="C15" s="32" t="s">
        <v>202</v>
      </c>
      <c r="D15" t="s">
        <v>201</v>
      </c>
      <c r="E15" t="s">
        <v>200</v>
      </c>
      <c r="F15" t="s">
        <v>199</v>
      </c>
    </row>
    <row r="16" spans="1:6" x14ac:dyDescent="0.25">
      <c r="A16" t="s">
        <v>198</v>
      </c>
      <c r="B16" t="s">
        <v>197</v>
      </c>
      <c r="C16" t="s">
        <v>196</v>
      </c>
      <c r="D16" t="s">
        <v>195</v>
      </c>
      <c r="E16" t="s">
        <v>194</v>
      </c>
      <c r="F16" t="s">
        <v>193</v>
      </c>
    </row>
    <row r="17" spans="1:11" x14ac:dyDescent="0.25">
      <c r="A17" t="s">
        <v>192</v>
      </c>
      <c r="B17">
        <f>HLOOKUP(A17,'Student Dataset (2)'!A2:J9,5,)</f>
        <v>92</v>
      </c>
      <c r="C17">
        <f>HLOOKUP(A17,'Student Dataset (2)'!A2:EU9,6,)</f>
        <v>70</v>
      </c>
      <c r="D17">
        <f>HLOOKUP(A17,'Student Dataset (2)'!A2:EU9,7,)</f>
        <v>35</v>
      </c>
      <c r="E17">
        <f>HLOOKUP(A17,'Student Dataset (2)'!A2:EU9,8,)</f>
        <v>55</v>
      </c>
      <c r="F17">
        <f>HLOOKUP(A17,'Student Dataset (2)'!A2:EU9,3,FALSE)</f>
        <v>88</v>
      </c>
      <c r="H17" s="6"/>
      <c r="I17" s="6"/>
      <c r="J17" s="6"/>
      <c r="K17" s="6"/>
    </row>
    <row r="18" spans="1:11" x14ac:dyDescent="0.25">
      <c r="H18" s="6"/>
      <c r="I18" s="6"/>
      <c r="J18" s="6"/>
      <c r="K18" s="6"/>
    </row>
    <row r="19" spans="1:11" ht="18.75" x14ac:dyDescent="0.3">
      <c r="C19" s="33" t="s">
        <v>191</v>
      </c>
      <c r="H19" s="5"/>
      <c r="I19" s="5"/>
      <c r="J19" s="5"/>
      <c r="K19" s="5"/>
    </row>
    <row r="20" spans="1:11" x14ac:dyDescent="0.25">
      <c r="H20" s="5"/>
      <c r="I20" s="5"/>
      <c r="J20" s="5"/>
      <c r="K20" s="5"/>
    </row>
    <row r="21" spans="1:11" x14ac:dyDescent="0.25">
      <c r="A21" t="s">
        <v>190</v>
      </c>
      <c r="B21" t="s">
        <v>184</v>
      </c>
      <c r="C21" s="32" t="s">
        <v>189</v>
      </c>
      <c r="D21" t="s">
        <v>188</v>
      </c>
      <c r="H21" s="5"/>
      <c r="I21" s="5"/>
      <c r="J21" s="5"/>
      <c r="K21" s="5"/>
    </row>
    <row r="22" spans="1:11" x14ac:dyDescent="0.25">
      <c r="A22" t="s">
        <v>185</v>
      </c>
      <c r="B22" t="s">
        <v>184</v>
      </c>
      <c r="C22" t="s">
        <v>183</v>
      </c>
      <c r="D22" t="s">
        <v>188</v>
      </c>
      <c r="H22" s="5"/>
      <c r="I22" s="5"/>
      <c r="J22" s="5"/>
      <c r="K22" s="5"/>
    </row>
    <row r="23" spans="1:11" x14ac:dyDescent="0.25">
      <c r="A23" t="s">
        <v>177</v>
      </c>
      <c r="B23">
        <v>254856</v>
      </c>
      <c r="C23">
        <v>12</v>
      </c>
      <c r="D23">
        <f t="shared" ref="D23:D32" si="0">IFERROR(B23/C23,"-")</f>
        <v>21238</v>
      </c>
    </row>
    <row r="24" spans="1:11" x14ac:dyDescent="0.25">
      <c r="A24" t="s">
        <v>176</v>
      </c>
      <c r="B24">
        <v>254685</v>
      </c>
      <c r="C24">
        <v>5</v>
      </c>
      <c r="D24">
        <f t="shared" si="0"/>
        <v>50937</v>
      </c>
    </row>
    <row r="25" spans="1:11" x14ac:dyDescent="0.25">
      <c r="A25" t="s">
        <v>175</v>
      </c>
      <c r="B25">
        <v>25486</v>
      </c>
      <c r="C25">
        <v>85</v>
      </c>
      <c r="D25">
        <f t="shared" si="0"/>
        <v>299.83529411764704</v>
      </c>
    </row>
    <row r="26" spans="1:11" x14ac:dyDescent="0.25">
      <c r="A26" t="s">
        <v>174</v>
      </c>
      <c r="B26">
        <v>254156</v>
      </c>
      <c r="C26">
        <v>56</v>
      </c>
      <c r="D26">
        <f t="shared" si="0"/>
        <v>4538.5</v>
      </c>
    </row>
    <row r="27" spans="1:11" x14ac:dyDescent="0.25">
      <c r="A27" t="s">
        <v>173</v>
      </c>
      <c r="B27">
        <v>65985</v>
      </c>
      <c r="D27" t="str">
        <f t="shared" si="0"/>
        <v>-</v>
      </c>
    </row>
    <row r="28" spans="1:11" x14ac:dyDescent="0.25">
      <c r="A28" t="s">
        <v>172</v>
      </c>
      <c r="B28">
        <v>25469</v>
      </c>
      <c r="C28">
        <v>25</v>
      </c>
      <c r="D28">
        <f t="shared" si="0"/>
        <v>1018.76</v>
      </c>
    </row>
    <row r="29" spans="1:11" x14ac:dyDescent="0.25">
      <c r="A29" t="s">
        <v>171</v>
      </c>
      <c r="B29">
        <v>2564</v>
      </c>
      <c r="D29" t="str">
        <f t="shared" si="0"/>
        <v>-</v>
      </c>
    </row>
    <row r="30" spans="1:11" x14ac:dyDescent="0.25">
      <c r="A30" t="s">
        <v>170</v>
      </c>
      <c r="B30">
        <v>54265</v>
      </c>
      <c r="C30">
        <v>96</v>
      </c>
      <c r="D30">
        <f t="shared" si="0"/>
        <v>565.26041666666663</v>
      </c>
    </row>
    <row r="31" spans="1:11" x14ac:dyDescent="0.25">
      <c r="A31" t="s">
        <v>169</v>
      </c>
      <c r="B31">
        <v>25463</v>
      </c>
      <c r="C31">
        <v>145</v>
      </c>
      <c r="D31">
        <f t="shared" si="0"/>
        <v>175.60689655172413</v>
      </c>
    </row>
    <row r="32" spans="1:11" x14ac:dyDescent="0.25">
      <c r="A32" t="s">
        <v>168</v>
      </c>
      <c r="B32">
        <v>24521</v>
      </c>
      <c r="D32" t="str">
        <f t="shared" si="0"/>
        <v>-</v>
      </c>
    </row>
    <row r="33" spans="1:10" x14ac:dyDescent="0.25">
      <c r="C33" s="24" t="s">
        <v>187</v>
      </c>
    </row>
    <row r="34" spans="1:10" x14ac:dyDescent="0.25">
      <c r="C34" t="s">
        <v>186</v>
      </c>
    </row>
    <row r="35" spans="1:10" x14ac:dyDescent="0.25">
      <c r="A35" t="s">
        <v>185</v>
      </c>
      <c r="B35" t="s">
        <v>184</v>
      </c>
      <c r="C35" t="s">
        <v>183</v>
      </c>
      <c r="D35" t="s">
        <v>182</v>
      </c>
      <c r="E35" t="s">
        <v>79</v>
      </c>
      <c r="F35" t="s">
        <v>181</v>
      </c>
      <c r="G35" t="s">
        <v>180</v>
      </c>
      <c r="H35" t="s">
        <v>179</v>
      </c>
      <c r="I35" t="s">
        <v>23</v>
      </c>
      <c r="J35" t="s">
        <v>178</v>
      </c>
    </row>
    <row r="36" spans="1:10" x14ac:dyDescent="0.25">
      <c r="A36" t="s">
        <v>177</v>
      </c>
      <c r="B36">
        <v>254856</v>
      </c>
      <c r="C36">
        <v>12</v>
      </c>
      <c r="D36">
        <f t="shared" ref="D36:D45" si="1">SUM(B36:C36)</f>
        <v>254868</v>
      </c>
      <c r="E36">
        <f t="shared" ref="E36:E45" si="2">AVERAGE(B36:C36)</f>
        <v>127434</v>
      </c>
      <c r="F36">
        <f t="shared" ref="F36:F45" si="3">MIN(B36:C36)</f>
        <v>12</v>
      </c>
      <c r="G36">
        <f t="shared" ref="G36:G45" si="4">MAX(B36:C36)</f>
        <v>254856</v>
      </c>
      <c r="H36">
        <f t="shared" ref="H36:H45" si="5">COUNT(B36:C36)</f>
        <v>2</v>
      </c>
      <c r="J36">
        <f t="shared" ref="J36:J45" si="6">COUNTA(B36:C36)</f>
        <v>2</v>
      </c>
    </row>
    <row r="37" spans="1:10" x14ac:dyDescent="0.25">
      <c r="A37" t="s">
        <v>176</v>
      </c>
      <c r="B37">
        <v>254685</v>
      </c>
      <c r="C37">
        <v>5</v>
      </c>
      <c r="D37">
        <f t="shared" si="1"/>
        <v>254690</v>
      </c>
      <c r="E37">
        <f t="shared" si="2"/>
        <v>127345</v>
      </c>
      <c r="F37">
        <f t="shared" si="3"/>
        <v>5</v>
      </c>
      <c r="G37">
        <f t="shared" si="4"/>
        <v>254685</v>
      </c>
      <c r="H37">
        <f t="shared" si="5"/>
        <v>2</v>
      </c>
      <c r="J37">
        <f t="shared" si="6"/>
        <v>2</v>
      </c>
    </row>
    <row r="38" spans="1:10" x14ac:dyDescent="0.25">
      <c r="A38" t="s">
        <v>175</v>
      </c>
      <c r="B38">
        <v>25486</v>
      </c>
      <c r="C38">
        <v>85</v>
      </c>
      <c r="D38">
        <f t="shared" si="1"/>
        <v>25571</v>
      </c>
      <c r="E38">
        <f t="shared" si="2"/>
        <v>12785.5</v>
      </c>
      <c r="F38">
        <f t="shared" si="3"/>
        <v>85</v>
      </c>
      <c r="G38">
        <f t="shared" si="4"/>
        <v>25486</v>
      </c>
      <c r="H38">
        <f t="shared" si="5"/>
        <v>2</v>
      </c>
      <c r="J38">
        <f t="shared" si="6"/>
        <v>2</v>
      </c>
    </row>
    <row r="39" spans="1:10" x14ac:dyDescent="0.25">
      <c r="A39" t="s">
        <v>174</v>
      </c>
      <c r="B39">
        <v>254156</v>
      </c>
      <c r="C39">
        <v>56</v>
      </c>
      <c r="D39">
        <f t="shared" si="1"/>
        <v>254212</v>
      </c>
      <c r="E39">
        <f t="shared" si="2"/>
        <v>127106</v>
      </c>
      <c r="F39">
        <f t="shared" si="3"/>
        <v>56</v>
      </c>
      <c r="G39">
        <f t="shared" si="4"/>
        <v>254156</v>
      </c>
      <c r="H39">
        <f t="shared" si="5"/>
        <v>2</v>
      </c>
      <c r="J39">
        <f t="shared" si="6"/>
        <v>2</v>
      </c>
    </row>
    <row r="40" spans="1:10" x14ac:dyDescent="0.25">
      <c r="A40" t="s">
        <v>173</v>
      </c>
      <c r="B40">
        <v>65985</v>
      </c>
      <c r="C40">
        <v>98</v>
      </c>
      <c r="D40">
        <f t="shared" si="1"/>
        <v>66083</v>
      </c>
      <c r="E40">
        <f t="shared" si="2"/>
        <v>33041.5</v>
      </c>
      <c r="F40">
        <f t="shared" si="3"/>
        <v>98</v>
      </c>
      <c r="G40">
        <f t="shared" si="4"/>
        <v>65985</v>
      </c>
      <c r="H40">
        <f t="shared" si="5"/>
        <v>2</v>
      </c>
      <c r="J40">
        <f t="shared" si="6"/>
        <v>2</v>
      </c>
    </row>
    <row r="41" spans="1:10" x14ac:dyDescent="0.25">
      <c r="A41" t="s">
        <v>172</v>
      </c>
      <c r="B41">
        <v>25469</v>
      </c>
      <c r="C41">
        <v>25</v>
      </c>
      <c r="D41">
        <f t="shared" si="1"/>
        <v>25494</v>
      </c>
      <c r="E41">
        <f t="shared" si="2"/>
        <v>12747</v>
      </c>
      <c r="F41">
        <f t="shared" si="3"/>
        <v>25</v>
      </c>
      <c r="G41">
        <f t="shared" si="4"/>
        <v>25469</v>
      </c>
      <c r="H41">
        <f t="shared" si="5"/>
        <v>2</v>
      </c>
      <c r="J41">
        <f t="shared" si="6"/>
        <v>2</v>
      </c>
    </row>
    <row r="42" spans="1:10" x14ac:dyDescent="0.25">
      <c r="A42" t="s">
        <v>171</v>
      </c>
      <c r="B42">
        <v>2564</v>
      </c>
      <c r="C42">
        <v>68</v>
      </c>
      <c r="D42">
        <f t="shared" si="1"/>
        <v>2632</v>
      </c>
      <c r="E42">
        <f t="shared" si="2"/>
        <v>1316</v>
      </c>
      <c r="F42">
        <f t="shared" si="3"/>
        <v>68</v>
      </c>
      <c r="G42">
        <f t="shared" si="4"/>
        <v>2564</v>
      </c>
      <c r="H42">
        <f t="shared" si="5"/>
        <v>2</v>
      </c>
      <c r="J42">
        <f t="shared" si="6"/>
        <v>2</v>
      </c>
    </row>
    <row r="43" spans="1:10" x14ac:dyDescent="0.25">
      <c r="A43" t="s">
        <v>170</v>
      </c>
      <c r="B43">
        <v>54265</v>
      </c>
      <c r="C43">
        <v>96</v>
      </c>
      <c r="D43">
        <f t="shared" si="1"/>
        <v>54361</v>
      </c>
      <c r="E43">
        <f t="shared" si="2"/>
        <v>27180.5</v>
      </c>
      <c r="F43">
        <f t="shared" si="3"/>
        <v>96</v>
      </c>
      <c r="G43">
        <f t="shared" si="4"/>
        <v>54265</v>
      </c>
      <c r="H43">
        <f t="shared" si="5"/>
        <v>2</v>
      </c>
      <c r="J43">
        <f t="shared" si="6"/>
        <v>2</v>
      </c>
    </row>
    <row r="44" spans="1:10" x14ac:dyDescent="0.25">
      <c r="A44" t="s">
        <v>169</v>
      </c>
      <c r="B44">
        <v>25463</v>
      </c>
      <c r="C44">
        <v>145</v>
      </c>
      <c r="D44">
        <f t="shared" si="1"/>
        <v>25608</v>
      </c>
      <c r="E44">
        <f t="shared" si="2"/>
        <v>12804</v>
      </c>
      <c r="F44">
        <f t="shared" si="3"/>
        <v>145</v>
      </c>
      <c r="G44">
        <f t="shared" si="4"/>
        <v>25463</v>
      </c>
      <c r="H44">
        <f t="shared" si="5"/>
        <v>2</v>
      </c>
      <c r="J44">
        <f t="shared" si="6"/>
        <v>2</v>
      </c>
    </row>
    <row r="45" spans="1:10" x14ac:dyDescent="0.25">
      <c r="A45" t="s">
        <v>168</v>
      </c>
      <c r="B45">
        <v>24521</v>
      </c>
      <c r="C45">
        <v>150</v>
      </c>
      <c r="D45">
        <f t="shared" si="1"/>
        <v>24671</v>
      </c>
      <c r="E45">
        <f t="shared" si="2"/>
        <v>12335.5</v>
      </c>
      <c r="F45">
        <f t="shared" si="3"/>
        <v>150</v>
      </c>
      <c r="G45">
        <f t="shared" si="4"/>
        <v>24521</v>
      </c>
      <c r="H45">
        <f t="shared" si="5"/>
        <v>2</v>
      </c>
      <c r="J45">
        <f t="shared" si="6"/>
        <v>2</v>
      </c>
    </row>
    <row r="47" spans="1:10" x14ac:dyDescent="0.25">
      <c r="C47" t="s">
        <v>167</v>
      </c>
    </row>
    <row r="48" spans="1:10" x14ac:dyDescent="0.25">
      <c r="C48" t="s">
        <v>166</v>
      </c>
    </row>
    <row r="50" spans="1:16" x14ac:dyDescent="0.25">
      <c r="A50" s="22" t="s">
        <v>84</v>
      </c>
      <c r="B50" s="22" t="s">
        <v>91</v>
      </c>
      <c r="C50" s="22" t="s">
        <v>141</v>
      </c>
      <c r="D50" s="22" t="s">
        <v>140</v>
      </c>
      <c r="E50" s="22" t="s">
        <v>139</v>
      </c>
      <c r="F50" s="22" t="s">
        <v>138</v>
      </c>
      <c r="G50" s="22" t="s">
        <v>137</v>
      </c>
      <c r="H50" s="22" t="s">
        <v>136</v>
      </c>
      <c r="I50" s="21" t="s">
        <v>135</v>
      </c>
      <c r="J50" s="21" t="s">
        <v>165</v>
      </c>
      <c r="K50" s="21" t="s">
        <v>164</v>
      </c>
      <c r="L50" s="21" t="s">
        <v>163</v>
      </c>
      <c r="M50" s="21" t="s">
        <v>162</v>
      </c>
      <c r="N50" s="21" t="s">
        <v>161</v>
      </c>
      <c r="O50" s="21" t="s">
        <v>160</v>
      </c>
      <c r="P50" s="21" t="s">
        <v>159</v>
      </c>
    </row>
    <row r="51" spans="1:16" x14ac:dyDescent="0.25">
      <c r="A51" s="10" t="s">
        <v>106</v>
      </c>
      <c r="B51" s="10" t="s">
        <v>134</v>
      </c>
      <c r="C51" s="10">
        <v>50</v>
      </c>
      <c r="D51" s="10">
        <v>60</v>
      </c>
      <c r="E51" s="10">
        <v>35</v>
      </c>
      <c r="F51" s="10">
        <v>54</v>
      </c>
      <c r="G51" s="10">
        <v>86</v>
      </c>
      <c r="H51" s="10">
        <v>38</v>
      </c>
      <c r="I51" s="9">
        <f t="shared" ref="I51:I69" si="7">SUM(C51:H51)</f>
        <v>323</v>
      </c>
      <c r="J51" t="str">
        <f t="shared" ref="J51:J69" si="8">IF(I51&gt;=300,"Pass","fail")</f>
        <v>Pass</v>
      </c>
      <c r="K51" t="str">
        <f t="shared" ref="K51:K69" si="9">IF(I51&gt;=500,"A grade",IF(I51&gt;=400,"B Grade",IF(I51&gt;=300,"C Grade",IF(I51&gt;=200,"D Grade"))))</f>
        <v>C Grade</v>
      </c>
      <c r="L51" t="str">
        <f t="shared" ref="L51:L69" si="10">IF(I51&gt;=500,"Excellent",IF(I51&gt;=400,"Good",IF(I51&gt;=300,"Pass",IF(I51&gt;=200,"Fail"))))</f>
        <v>Pass</v>
      </c>
      <c r="M51">
        <f>SUMIF(B51:B69, "6A", I51:I69)</f>
        <v>670</v>
      </c>
      <c r="N51" t="str">
        <f t="shared" ref="N51:N69" si="11">IF(AND(I51&gt;=300,I51&gt;=400),"Pass","Fail")</f>
        <v>Fail</v>
      </c>
      <c r="O51" t="str">
        <f t="shared" ref="O51:O57" si="12">IF(OR(I51&gt;=300,I51&gt;=250),"Pass","Fail")</f>
        <v>Pass</v>
      </c>
      <c r="P51" t="str">
        <f t="shared" ref="P51:P69" si="13">IF(I51&gt;=500,"Excellent",IF(I51&gt;=400,"Good",IF(I51&gt;=300,"Pass","Fail")))</f>
        <v>Pass</v>
      </c>
    </row>
    <row r="52" spans="1:16" x14ac:dyDescent="0.25">
      <c r="A52" s="11" t="s">
        <v>113</v>
      </c>
      <c r="B52" s="11" t="s">
        <v>134</v>
      </c>
      <c r="C52" s="11">
        <v>38</v>
      </c>
      <c r="D52" s="11">
        <v>46</v>
      </c>
      <c r="E52" s="11">
        <v>62</v>
      </c>
      <c r="F52" s="11">
        <v>64</v>
      </c>
      <c r="G52" s="11">
        <v>99</v>
      </c>
      <c r="H52" s="11">
        <v>38</v>
      </c>
      <c r="I52" s="9">
        <f t="shared" si="7"/>
        <v>347</v>
      </c>
      <c r="J52" t="str">
        <f t="shared" si="8"/>
        <v>Pass</v>
      </c>
      <c r="K52" t="str">
        <f t="shared" si="9"/>
        <v>C Grade</v>
      </c>
      <c r="L52" t="str">
        <f t="shared" si="10"/>
        <v>Pass</v>
      </c>
      <c r="M52">
        <f>SUMIF(B52:B70, "6B", I52:I70)</f>
        <v>911</v>
      </c>
      <c r="N52" t="str">
        <f t="shared" si="11"/>
        <v>Fail</v>
      </c>
      <c r="O52" t="str">
        <f t="shared" si="12"/>
        <v>Pass</v>
      </c>
      <c r="P52" t="str">
        <f t="shared" si="13"/>
        <v>Pass</v>
      </c>
    </row>
    <row r="53" spans="1:16" x14ac:dyDescent="0.25">
      <c r="A53" s="10" t="s">
        <v>75</v>
      </c>
      <c r="B53" s="10" t="s">
        <v>124</v>
      </c>
      <c r="C53" s="10">
        <v>88</v>
      </c>
      <c r="D53" s="10">
        <v>42</v>
      </c>
      <c r="E53" s="10">
        <v>45</v>
      </c>
      <c r="F53" s="10">
        <v>32</v>
      </c>
      <c r="G53" s="10">
        <v>34</v>
      </c>
      <c r="H53" s="10">
        <v>56</v>
      </c>
      <c r="I53" s="9">
        <f t="shared" si="7"/>
        <v>297</v>
      </c>
      <c r="J53" t="str">
        <f t="shared" si="8"/>
        <v>fail</v>
      </c>
      <c r="K53" t="str">
        <f t="shared" si="9"/>
        <v>D Grade</v>
      </c>
      <c r="L53" t="str">
        <f t="shared" si="10"/>
        <v>Fail</v>
      </c>
      <c r="M53">
        <f>SUMIF(B53:B71, "7A", I53:I71)</f>
        <v>835</v>
      </c>
      <c r="N53" t="str">
        <f t="shared" si="11"/>
        <v>Fail</v>
      </c>
      <c r="O53" t="str">
        <f t="shared" si="12"/>
        <v>Pass</v>
      </c>
      <c r="P53" t="str">
        <f t="shared" si="13"/>
        <v>Fail</v>
      </c>
    </row>
    <row r="54" spans="1:16" x14ac:dyDescent="0.25">
      <c r="A54" s="11" t="s">
        <v>115</v>
      </c>
      <c r="B54" s="11" t="s">
        <v>128</v>
      </c>
      <c r="C54" s="11">
        <v>70</v>
      </c>
      <c r="D54" s="11">
        <v>54</v>
      </c>
      <c r="E54" s="11">
        <v>62</v>
      </c>
      <c r="F54" s="11">
        <v>78</v>
      </c>
      <c r="G54" s="11">
        <v>48</v>
      </c>
      <c r="H54" s="11">
        <v>46</v>
      </c>
      <c r="I54" s="9">
        <f t="shared" si="7"/>
        <v>358</v>
      </c>
      <c r="J54" t="str">
        <f t="shared" si="8"/>
        <v>Pass</v>
      </c>
      <c r="K54" t="str">
        <f t="shared" si="9"/>
        <v>C Grade</v>
      </c>
      <c r="L54" t="str">
        <f t="shared" si="10"/>
        <v>Pass</v>
      </c>
      <c r="M54">
        <f>SUMIF(B54:B72, "7B", I54:I72)</f>
        <v>676</v>
      </c>
      <c r="N54" t="str">
        <f t="shared" si="11"/>
        <v>Fail</v>
      </c>
      <c r="O54" t="str">
        <f t="shared" si="12"/>
        <v>Pass</v>
      </c>
      <c r="P54" t="str">
        <f t="shared" si="13"/>
        <v>Pass</v>
      </c>
    </row>
    <row r="55" spans="1:16" x14ac:dyDescent="0.25">
      <c r="A55" s="10" t="s">
        <v>108</v>
      </c>
      <c r="B55" s="10" t="s">
        <v>128</v>
      </c>
      <c r="C55" s="10">
        <v>79</v>
      </c>
      <c r="D55" s="10">
        <v>32</v>
      </c>
      <c r="E55" s="10">
        <v>10</v>
      </c>
      <c r="F55" s="10">
        <v>45</v>
      </c>
      <c r="G55" s="10">
        <v>23</v>
      </c>
      <c r="H55" s="10">
        <v>83</v>
      </c>
      <c r="I55" s="9">
        <f t="shared" si="7"/>
        <v>272</v>
      </c>
      <c r="J55" t="str">
        <f t="shared" si="8"/>
        <v>fail</v>
      </c>
      <c r="K55" t="str">
        <f t="shared" si="9"/>
        <v>D Grade</v>
      </c>
      <c r="L55" t="str">
        <f t="shared" si="10"/>
        <v>Fail</v>
      </c>
      <c r="M55">
        <f>SUMIF(B55:B73, "8A", I55:I73)</f>
        <v>834</v>
      </c>
      <c r="N55" t="str">
        <f t="shared" si="11"/>
        <v>Fail</v>
      </c>
      <c r="O55" t="str">
        <f t="shared" si="12"/>
        <v>Pass</v>
      </c>
      <c r="P55" t="str">
        <f t="shared" si="13"/>
        <v>Fail</v>
      </c>
    </row>
    <row r="56" spans="1:16" x14ac:dyDescent="0.25">
      <c r="A56" s="11" t="s">
        <v>96</v>
      </c>
      <c r="B56" s="11" t="s">
        <v>130</v>
      </c>
      <c r="C56" s="11">
        <v>81</v>
      </c>
      <c r="D56" s="11">
        <v>59</v>
      </c>
      <c r="E56" s="11">
        <v>43</v>
      </c>
      <c r="F56" s="11">
        <v>40</v>
      </c>
      <c r="G56" s="11">
        <v>64</v>
      </c>
      <c r="H56" s="11">
        <v>72</v>
      </c>
      <c r="I56" s="9">
        <f t="shared" si="7"/>
        <v>359</v>
      </c>
      <c r="J56" t="str">
        <f t="shared" si="8"/>
        <v>Pass</v>
      </c>
      <c r="K56" t="str">
        <f t="shared" si="9"/>
        <v>C Grade</v>
      </c>
      <c r="L56" t="str">
        <f t="shared" si="10"/>
        <v>Pass</v>
      </c>
      <c r="M56">
        <f>SUMIF(B56:B74, "8B", I56:I74)</f>
        <v>550</v>
      </c>
      <c r="N56" t="str">
        <f t="shared" si="11"/>
        <v>Fail</v>
      </c>
      <c r="O56" t="str">
        <f t="shared" si="12"/>
        <v>Pass</v>
      </c>
      <c r="P56" t="str">
        <f t="shared" si="13"/>
        <v>Pass</v>
      </c>
    </row>
    <row r="57" spans="1:16" x14ac:dyDescent="0.25">
      <c r="A57" s="10" t="s">
        <v>97</v>
      </c>
      <c r="B57" s="10" t="s">
        <v>133</v>
      </c>
      <c r="C57" s="10">
        <v>47</v>
      </c>
      <c r="D57" s="10">
        <v>83</v>
      </c>
      <c r="E57" s="10">
        <v>70</v>
      </c>
      <c r="F57" s="10">
        <v>93</v>
      </c>
      <c r="G57" s="10">
        <v>81</v>
      </c>
      <c r="H57" s="10">
        <v>55</v>
      </c>
      <c r="I57" s="9">
        <f t="shared" si="7"/>
        <v>429</v>
      </c>
      <c r="J57" t="str">
        <f t="shared" si="8"/>
        <v>Pass</v>
      </c>
      <c r="K57" t="str">
        <f t="shared" si="9"/>
        <v>B Grade</v>
      </c>
      <c r="L57" t="str">
        <f t="shared" si="10"/>
        <v>Good</v>
      </c>
      <c r="M57">
        <f>SUMIF(B57:B75, "9A", I57:I75)</f>
        <v>398</v>
      </c>
      <c r="N57" t="str">
        <f t="shared" si="11"/>
        <v>Pass</v>
      </c>
      <c r="O57" t="str">
        <f t="shared" si="12"/>
        <v>Pass</v>
      </c>
      <c r="P57" t="str">
        <f t="shared" si="13"/>
        <v>Good</v>
      </c>
    </row>
    <row r="58" spans="1:16" x14ac:dyDescent="0.25">
      <c r="A58" s="11" t="s">
        <v>103</v>
      </c>
      <c r="B58" s="11" t="s">
        <v>133</v>
      </c>
      <c r="C58" s="11">
        <v>69</v>
      </c>
      <c r="D58" s="11">
        <v>34</v>
      </c>
      <c r="E58" s="11">
        <v>25</v>
      </c>
      <c r="F58" s="11">
        <v>20</v>
      </c>
      <c r="G58" s="11">
        <v>34</v>
      </c>
      <c r="H58" s="11">
        <v>65</v>
      </c>
      <c r="I58" s="9">
        <f t="shared" si="7"/>
        <v>247</v>
      </c>
      <c r="J58" t="str">
        <f t="shared" si="8"/>
        <v>fail</v>
      </c>
      <c r="K58" t="str">
        <f t="shared" si="9"/>
        <v>D Grade</v>
      </c>
      <c r="L58" t="str">
        <f t="shared" si="10"/>
        <v>Fail</v>
      </c>
      <c r="M58">
        <f>SUMIF(B58:B76, "9B", I58:I76)</f>
        <v>255</v>
      </c>
      <c r="N58" t="str">
        <f t="shared" si="11"/>
        <v>Fail</v>
      </c>
      <c r="O58" t="str">
        <f t="shared" ref="O58:O68" si="14">IF(OR(I58&gt;=300,I58&lt;=250),"Pass","Fail")</f>
        <v>Pass</v>
      </c>
      <c r="P58" t="str">
        <f t="shared" si="13"/>
        <v>Fail</v>
      </c>
    </row>
    <row r="59" spans="1:16" x14ac:dyDescent="0.25">
      <c r="A59" s="10" t="s">
        <v>151</v>
      </c>
      <c r="B59" s="10" t="s">
        <v>124</v>
      </c>
      <c r="C59" s="10">
        <v>63</v>
      </c>
      <c r="D59" s="10">
        <v>76</v>
      </c>
      <c r="E59" s="10">
        <v>42</v>
      </c>
      <c r="F59" s="10">
        <v>64</v>
      </c>
      <c r="G59" s="10">
        <v>39</v>
      </c>
      <c r="H59" s="10">
        <v>75</v>
      </c>
      <c r="I59" s="9">
        <f t="shared" si="7"/>
        <v>359</v>
      </c>
      <c r="J59" t="str">
        <f t="shared" si="8"/>
        <v>Pass</v>
      </c>
      <c r="K59" t="str">
        <f t="shared" si="9"/>
        <v>C Grade</v>
      </c>
      <c r="L59" t="str">
        <f t="shared" si="10"/>
        <v>Pass</v>
      </c>
      <c r="M59">
        <f>SUMIF(B59:B77, "9A", I59:I77)</f>
        <v>398</v>
      </c>
      <c r="N59" t="str">
        <f t="shared" si="11"/>
        <v>Fail</v>
      </c>
      <c r="O59" t="str">
        <f t="shared" si="14"/>
        <v>Pass</v>
      </c>
      <c r="P59" t="str">
        <f t="shared" si="13"/>
        <v>Pass</v>
      </c>
    </row>
    <row r="60" spans="1:16" x14ac:dyDescent="0.25">
      <c r="A60" s="11" t="s">
        <v>67</v>
      </c>
      <c r="B60" s="11" t="s">
        <v>127</v>
      </c>
      <c r="C60" s="11">
        <v>62</v>
      </c>
      <c r="D60" s="11">
        <v>75</v>
      </c>
      <c r="E60" s="11">
        <v>85</v>
      </c>
      <c r="F60" s="11">
        <v>96</v>
      </c>
      <c r="G60" s="11">
        <v>91</v>
      </c>
      <c r="H60" s="11">
        <v>92</v>
      </c>
      <c r="I60" s="9">
        <f t="shared" si="7"/>
        <v>501</v>
      </c>
      <c r="J60" t="str">
        <f t="shared" si="8"/>
        <v>Pass</v>
      </c>
      <c r="K60" t="str">
        <f t="shared" si="9"/>
        <v>A grade</v>
      </c>
      <c r="L60" t="str">
        <f t="shared" si="10"/>
        <v>Excellent</v>
      </c>
      <c r="M60">
        <f>SUMIF(B60:B78, "10A", I60:I78)</f>
        <v>797</v>
      </c>
      <c r="N60" t="str">
        <f t="shared" si="11"/>
        <v>Pass</v>
      </c>
      <c r="O60" t="str">
        <f t="shared" si="14"/>
        <v>Pass</v>
      </c>
      <c r="P60" t="str">
        <f t="shared" si="13"/>
        <v>Excellent</v>
      </c>
    </row>
    <row r="61" spans="1:16" x14ac:dyDescent="0.25">
      <c r="A61" s="10" t="s">
        <v>109</v>
      </c>
      <c r="B61" s="10" t="s">
        <v>129</v>
      </c>
      <c r="C61" s="10">
        <v>66</v>
      </c>
      <c r="D61" s="10">
        <v>68</v>
      </c>
      <c r="E61" s="10">
        <v>89</v>
      </c>
      <c r="F61" s="10">
        <v>86</v>
      </c>
      <c r="G61" s="10">
        <v>81</v>
      </c>
      <c r="H61" s="10">
        <v>63</v>
      </c>
      <c r="I61" s="9">
        <f t="shared" si="7"/>
        <v>453</v>
      </c>
      <c r="J61" t="str">
        <f t="shared" si="8"/>
        <v>Pass</v>
      </c>
      <c r="K61" t="str">
        <f t="shared" si="9"/>
        <v>B Grade</v>
      </c>
      <c r="L61" t="str">
        <f t="shared" si="10"/>
        <v>Good</v>
      </c>
      <c r="M61">
        <f>SUMIF(B61:B79, "10A", I61:I79)</f>
        <v>797</v>
      </c>
      <c r="N61" t="str">
        <f t="shared" si="11"/>
        <v>Pass</v>
      </c>
      <c r="O61" t="str">
        <f t="shared" si="14"/>
        <v>Pass</v>
      </c>
      <c r="P61" t="str">
        <f t="shared" si="13"/>
        <v>Good</v>
      </c>
    </row>
    <row r="62" spans="1:16" x14ac:dyDescent="0.25">
      <c r="A62" s="11" t="s">
        <v>107</v>
      </c>
      <c r="B62" s="11" t="s">
        <v>132</v>
      </c>
      <c r="C62" s="11">
        <v>46</v>
      </c>
      <c r="D62" s="11">
        <v>29</v>
      </c>
      <c r="E62" s="11">
        <v>24</v>
      </c>
      <c r="F62" s="11">
        <v>58</v>
      </c>
      <c r="G62" s="11">
        <v>39</v>
      </c>
      <c r="H62" s="11">
        <v>59</v>
      </c>
      <c r="I62" s="9">
        <f t="shared" si="7"/>
        <v>255</v>
      </c>
      <c r="J62" t="str">
        <f t="shared" si="8"/>
        <v>fail</v>
      </c>
      <c r="K62" t="str">
        <f t="shared" si="9"/>
        <v>D Grade</v>
      </c>
      <c r="L62" t="str">
        <f t="shared" si="10"/>
        <v>Fail</v>
      </c>
      <c r="M62">
        <f>SUMIF(B62:B80, "10B", I62:I80)</f>
        <v>0</v>
      </c>
      <c r="N62" t="str">
        <f t="shared" si="11"/>
        <v>Fail</v>
      </c>
      <c r="O62" t="str">
        <f t="shared" si="14"/>
        <v>Fail</v>
      </c>
      <c r="P62" t="str">
        <f t="shared" si="13"/>
        <v>Fail</v>
      </c>
    </row>
    <row r="63" spans="1:16" x14ac:dyDescent="0.25">
      <c r="A63" s="10" t="s">
        <v>105</v>
      </c>
      <c r="B63" s="10" t="s">
        <v>131</v>
      </c>
      <c r="C63" s="10">
        <v>83</v>
      </c>
      <c r="D63" s="10">
        <v>94</v>
      </c>
      <c r="E63" s="10">
        <v>67</v>
      </c>
      <c r="F63" s="10">
        <v>36</v>
      </c>
      <c r="G63" s="10">
        <v>49</v>
      </c>
      <c r="H63" s="10">
        <v>69</v>
      </c>
      <c r="I63" s="9">
        <f t="shared" si="7"/>
        <v>398</v>
      </c>
      <c r="J63" t="str">
        <f t="shared" si="8"/>
        <v>Pass</v>
      </c>
      <c r="K63" t="str">
        <f t="shared" si="9"/>
        <v>C Grade</v>
      </c>
      <c r="L63" t="str">
        <f t="shared" si="10"/>
        <v>Pass</v>
      </c>
      <c r="M63">
        <f t="shared" ref="M63:M69" si="15">SUMIF(B63:B81, "6A", I63:I81)</f>
        <v>670</v>
      </c>
      <c r="N63" t="str">
        <f t="shared" si="11"/>
        <v>Fail</v>
      </c>
      <c r="O63" t="str">
        <f t="shared" si="14"/>
        <v>Pass</v>
      </c>
      <c r="P63" t="str">
        <f t="shared" si="13"/>
        <v>Pass</v>
      </c>
    </row>
    <row r="64" spans="1:16" x14ac:dyDescent="0.25">
      <c r="A64" s="11" t="s">
        <v>94</v>
      </c>
      <c r="B64" s="11" t="s">
        <v>128</v>
      </c>
      <c r="C64" s="11">
        <v>49</v>
      </c>
      <c r="D64" s="11">
        <v>72</v>
      </c>
      <c r="E64" s="11">
        <v>54</v>
      </c>
      <c r="F64" s="11">
        <v>32</v>
      </c>
      <c r="G64" s="11">
        <v>23</v>
      </c>
      <c r="H64" s="11">
        <v>23</v>
      </c>
      <c r="I64" s="9">
        <f t="shared" si="7"/>
        <v>253</v>
      </c>
      <c r="J64" t="str">
        <f t="shared" si="8"/>
        <v>fail</v>
      </c>
      <c r="K64" t="str">
        <f t="shared" si="9"/>
        <v>D Grade</v>
      </c>
      <c r="L64" t="str">
        <f t="shared" si="10"/>
        <v>Fail</v>
      </c>
      <c r="M64">
        <f t="shared" si="15"/>
        <v>670</v>
      </c>
      <c r="N64" t="str">
        <f t="shared" si="11"/>
        <v>Fail</v>
      </c>
      <c r="O64" t="str">
        <f t="shared" si="14"/>
        <v>Fail</v>
      </c>
      <c r="P64" t="str">
        <f t="shared" si="13"/>
        <v>Fail</v>
      </c>
    </row>
    <row r="65" spans="1:16" x14ac:dyDescent="0.25">
      <c r="A65" s="10" t="s">
        <v>101</v>
      </c>
      <c r="B65" s="10" t="s">
        <v>130</v>
      </c>
      <c r="C65" s="10">
        <v>99</v>
      </c>
      <c r="D65" s="10">
        <v>57</v>
      </c>
      <c r="E65" s="10">
        <v>99</v>
      </c>
      <c r="F65" s="10">
        <v>48</v>
      </c>
      <c r="G65" s="10">
        <v>73</v>
      </c>
      <c r="H65" s="10">
        <v>99</v>
      </c>
      <c r="I65" s="9">
        <f t="shared" si="7"/>
        <v>475</v>
      </c>
      <c r="J65" t="str">
        <f t="shared" si="8"/>
        <v>Pass</v>
      </c>
      <c r="K65" t="str">
        <f t="shared" si="9"/>
        <v>B Grade</v>
      </c>
      <c r="L65" t="str">
        <f t="shared" si="10"/>
        <v>Good</v>
      </c>
      <c r="M65">
        <f t="shared" si="15"/>
        <v>670</v>
      </c>
      <c r="N65" t="str">
        <f t="shared" si="11"/>
        <v>Pass</v>
      </c>
      <c r="O65" t="str">
        <f t="shared" si="14"/>
        <v>Pass</v>
      </c>
      <c r="P65" t="str">
        <f t="shared" si="13"/>
        <v>Good</v>
      </c>
    </row>
    <row r="66" spans="1:16" x14ac:dyDescent="0.25">
      <c r="A66" s="11" t="s">
        <v>104</v>
      </c>
      <c r="B66" s="11" t="s">
        <v>129</v>
      </c>
      <c r="C66" s="11">
        <v>82</v>
      </c>
      <c r="D66" s="11">
        <v>55</v>
      </c>
      <c r="E66" s="11">
        <v>35</v>
      </c>
      <c r="F66" s="11">
        <v>76</v>
      </c>
      <c r="G66" s="11">
        <v>97</v>
      </c>
      <c r="H66" s="11">
        <v>37</v>
      </c>
      <c r="I66" s="9">
        <f t="shared" si="7"/>
        <v>382</v>
      </c>
      <c r="J66" t="str">
        <f t="shared" si="8"/>
        <v>Pass</v>
      </c>
      <c r="K66" t="str">
        <f t="shared" si="9"/>
        <v>C Grade</v>
      </c>
      <c r="L66" t="str">
        <f t="shared" si="10"/>
        <v>Pass</v>
      </c>
      <c r="M66">
        <f t="shared" si="15"/>
        <v>670</v>
      </c>
      <c r="N66" t="str">
        <f t="shared" si="11"/>
        <v>Fail</v>
      </c>
      <c r="O66" t="str">
        <f t="shared" si="14"/>
        <v>Pass</v>
      </c>
      <c r="P66" t="str">
        <f t="shared" si="13"/>
        <v>Pass</v>
      </c>
    </row>
    <row r="67" spans="1:16" x14ac:dyDescent="0.25">
      <c r="A67" s="10" t="s">
        <v>114</v>
      </c>
      <c r="B67" s="10" t="s">
        <v>128</v>
      </c>
      <c r="C67" s="10">
        <v>30</v>
      </c>
      <c r="D67" s="10">
        <v>65</v>
      </c>
      <c r="E67" s="10">
        <v>42</v>
      </c>
      <c r="F67" s="10">
        <v>65</v>
      </c>
      <c r="G67" s="10">
        <v>45</v>
      </c>
      <c r="H67" s="10">
        <v>50</v>
      </c>
      <c r="I67" s="9">
        <f t="shared" si="7"/>
        <v>297</v>
      </c>
      <c r="J67" t="str">
        <f t="shared" si="8"/>
        <v>fail</v>
      </c>
      <c r="K67" t="str">
        <f t="shared" si="9"/>
        <v>D Grade</v>
      </c>
      <c r="L67" t="str">
        <f t="shared" si="10"/>
        <v>Fail</v>
      </c>
      <c r="M67">
        <f t="shared" si="15"/>
        <v>670</v>
      </c>
      <c r="N67" t="str">
        <f t="shared" si="11"/>
        <v>Fail</v>
      </c>
      <c r="O67" t="str">
        <f t="shared" si="14"/>
        <v>Fail</v>
      </c>
      <c r="P67" t="str">
        <f t="shared" si="13"/>
        <v>Fail</v>
      </c>
    </row>
    <row r="68" spans="1:16" x14ac:dyDescent="0.25">
      <c r="A68" s="11" t="s">
        <v>100</v>
      </c>
      <c r="B68" s="11" t="s">
        <v>127</v>
      </c>
      <c r="C68" s="11">
        <v>51</v>
      </c>
      <c r="D68" s="11">
        <v>51</v>
      </c>
      <c r="E68" s="11">
        <v>95</v>
      </c>
      <c r="F68" s="11">
        <v>56</v>
      </c>
      <c r="G68" s="11">
        <v>68</v>
      </c>
      <c r="H68" s="11">
        <v>89</v>
      </c>
      <c r="I68" s="9">
        <f t="shared" si="7"/>
        <v>410</v>
      </c>
      <c r="J68" t="str">
        <f t="shared" si="8"/>
        <v>Pass</v>
      </c>
      <c r="K68" t="str">
        <f t="shared" si="9"/>
        <v>B Grade</v>
      </c>
      <c r="L68" t="str">
        <f t="shared" si="10"/>
        <v>Good</v>
      </c>
      <c r="M68">
        <f t="shared" si="15"/>
        <v>670</v>
      </c>
      <c r="N68" t="str">
        <f t="shared" si="11"/>
        <v>Pass</v>
      </c>
      <c r="O68" t="str">
        <f t="shared" si="14"/>
        <v>Pass</v>
      </c>
      <c r="P68" t="str">
        <f t="shared" si="13"/>
        <v>Good</v>
      </c>
    </row>
    <row r="69" spans="1:16" x14ac:dyDescent="0.25">
      <c r="A69" s="10" t="s">
        <v>112</v>
      </c>
      <c r="B69" s="10" t="s">
        <v>124</v>
      </c>
      <c r="C69" s="10">
        <v>60</v>
      </c>
      <c r="D69" s="10">
        <v>74</v>
      </c>
      <c r="E69" s="10">
        <v>87</v>
      </c>
      <c r="F69" s="10">
        <v>96</v>
      </c>
      <c r="G69" s="10">
        <v>91</v>
      </c>
      <c r="H69" s="10">
        <v>92</v>
      </c>
      <c r="I69" s="9">
        <f t="shared" si="7"/>
        <v>500</v>
      </c>
      <c r="J69" t="str">
        <f t="shared" si="8"/>
        <v>Pass</v>
      </c>
      <c r="K69" t="str">
        <f t="shared" si="9"/>
        <v>A grade</v>
      </c>
      <c r="L69" t="str">
        <f t="shared" si="10"/>
        <v>Excellent</v>
      </c>
      <c r="M69">
        <f t="shared" si="15"/>
        <v>670</v>
      </c>
      <c r="N69" t="str">
        <f t="shared" si="11"/>
        <v>Pass</v>
      </c>
      <c r="O69" t="str">
        <f>IF(OR(I69&gt;=300,I69&gt;=250),"Pass","Fail")</f>
        <v>Pass</v>
      </c>
      <c r="P69" t="str">
        <f t="shared" si="13"/>
        <v>Excellent</v>
      </c>
    </row>
    <row r="71" spans="1:16" ht="18.75" x14ac:dyDescent="0.3">
      <c r="C71" s="26" t="s">
        <v>158</v>
      </c>
    </row>
    <row r="72" spans="1:16" ht="75" x14ac:dyDescent="0.3">
      <c r="C72" s="31" t="s">
        <v>157</v>
      </c>
    </row>
    <row r="73" spans="1:16" x14ac:dyDescent="0.25">
      <c r="A73" s="22" t="s">
        <v>84</v>
      </c>
      <c r="B73" s="22" t="s">
        <v>91</v>
      </c>
      <c r="C73" s="22" t="s">
        <v>141</v>
      </c>
      <c r="D73" s="22" t="s">
        <v>140</v>
      </c>
      <c r="E73" s="22" t="s">
        <v>139</v>
      </c>
      <c r="F73" s="22" t="s">
        <v>138</v>
      </c>
      <c r="G73" s="22" t="s">
        <v>137</v>
      </c>
      <c r="H73" s="22" t="s">
        <v>136</v>
      </c>
      <c r="I73" s="21" t="s">
        <v>135</v>
      </c>
      <c r="J73" s="21" t="s">
        <v>156</v>
      </c>
      <c r="K73" s="21" t="s">
        <v>155</v>
      </c>
      <c r="L73" s="21" t="s">
        <v>154</v>
      </c>
      <c r="M73" s="21" t="s">
        <v>153</v>
      </c>
      <c r="N73" s="21" t="s">
        <v>152</v>
      </c>
    </row>
    <row r="74" spans="1:16" x14ac:dyDescent="0.25">
      <c r="A74" s="10" t="s">
        <v>106</v>
      </c>
      <c r="B74" s="10" t="s">
        <v>134</v>
      </c>
      <c r="C74" s="10">
        <v>50</v>
      </c>
      <c r="D74" s="10">
        <v>60</v>
      </c>
      <c r="E74" s="10">
        <v>35</v>
      </c>
      <c r="F74" s="10">
        <v>54</v>
      </c>
      <c r="G74" s="10">
        <v>86</v>
      </c>
      <c r="H74" s="10">
        <v>38</v>
      </c>
      <c r="I74" s="9">
        <f t="shared" ref="I74:I92" si="16">SUM(C74:H74)</f>
        <v>323</v>
      </c>
      <c r="J74" t="str">
        <f>LEFT("deepika",2)</f>
        <v>de</v>
      </c>
      <c r="K74" t="str">
        <f t="shared" ref="K74:K92" si="17">RIGHT("mohammed",3)</f>
        <v>med</v>
      </c>
      <c r="L74" t="str">
        <f t="shared" ref="L74:L92" si="18">MID("Mohammed",3,4)</f>
        <v>hamm</v>
      </c>
      <c r="M74">
        <f t="shared" ref="M74:M92" si="19">LEN("mohammed")</f>
        <v>8</v>
      </c>
      <c r="N74" t="str">
        <f t="shared" ref="N74:N92" si="20">LOWER("Mohammed")</f>
        <v>mohammed</v>
      </c>
    </row>
    <row r="75" spans="1:16" x14ac:dyDescent="0.25">
      <c r="A75" s="11" t="s">
        <v>113</v>
      </c>
      <c r="B75" s="11" t="s">
        <v>134</v>
      </c>
      <c r="C75" s="11">
        <v>38</v>
      </c>
      <c r="D75" s="11">
        <v>46</v>
      </c>
      <c r="E75" s="11">
        <v>62</v>
      </c>
      <c r="F75" s="11">
        <v>64</v>
      </c>
      <c r="G75" s="11">
        <v>99</v>
      </c>
      <c r="H75" s="11">
        <v>38</v>
      </c>
      <c r="I75" s="9">
        <f t="shared" si="16"/>
        <v>347</v>
      </c>
      <c r="J75" t="str">
        <f>LEFT("sneha",2)</f>
        <v>sn</v>
      </c>
      <c r="K75" t="str">
        <f t="shared" si="17"/>
        <v>med</v>
      </c>
      <c r="L75" t="str">
        <f t="shared" si="18"/>
        <v>hamm</v>
      </c>
      <c r="M75">
        <f t="shared" si="19"/>
        <v>8</v>
      </c>
      <c r="N75" t="str">
        <f t="shared" si="20"/>
        <v>mohammed</v>
      </c>
    </row>
    <row r="76" spans="1:16" x14ac:dyDescent="0.25">
      <c r="A76" s="10" t="s">
        <v>75</v>
      </c>
      <c r="B76" s="10" t="s">
        <v>124</v>
      </c>
      <c r="C76" s="10">
        <v>88</v>
      </c>
      <c r="D76" s="10">
        <v>42</v>
      </c>
      <c r="E76" s="10">
        <v>45</v>
      </c>
      <c r="F76" s="10">
        <v>32</v>
      </c>
      <c r="G76" s="10">
        <v>34</v>
      </c>
      <c r="H76" s="10">
        <v>56</v>
      </c>
      <c r="I76" s="9">
        <f t="shared" si="16"/>
        <v>297</v>
      </c>
      <c r="J76" t="str">
        <f>LEFT("aryan",2)</f>
        <v>ar</v>
      </c>
      <c r="K76" t="str">
        <f t="shared" si="17"/>
        <v>med</v>
      </c>
      <c r="L76" t="str">
        <f t="shared" si="18"/>
        <v>hamm</v>
      </c>
      <c r="M76">
        <f t="shared" si="19"/>
        <v>8</v>
      </c>
      <c r="N76" t="str">
        <f t="shared" si="20"/>
        <v>mohammed</v>
      </c>
    </row>
    <row r="77" spans="1:16" x14ac:dyDescent="0.25">
      <c r="A77" s="11" t="s">
        <v>115</v>
      </c>
      <c r="B77" s="11" t="s">
        <v>128</v>
      </c>
      <c r="C77" s="11">
        <v>70</v>
      </c>
      <c r="D77" s="11">
        <v>54</v>
      </c>
      <c r="E77" s="11">
        <v>62</v>
      </c>
      <c r="F77" s="11">
        <v>78</v>
      </c>
      <c r="G77" s="11">
        <v>48</v>
      </c>
      <c r="H77" s="11">
        <v>46</v>
      </c>
      <c r="I77" s="9">
        <f t="shared" si="16"/>
        <v>358</v>
      </c>
      <c r="J77" t="str">
        <f>LEFT("kavya",2)</f>
        <v>ka</v>
      </c>
      <c r="K77" t="str">
        <f t="shared" si="17"/>
        <v>med</v>
      </c>
      <c r="L77" t="str">
        <f t="shared" si="18"/>
        <v>hamm</v>
      </c>
      <c r="M77">
        <f t="shared" si="19"/>
        <v>8</v>
      </c>
      <c r="N77" t="str">
        <f t="shared" si="20"/>
        <v>mohammed</v>
      </c>
    </row>
    <row r="78" spans="1:16" x14ac:dyDescent="0.25">
      <c r="A78" s="10" t="s">
        <v>108</v>
      </c>
      <c r="B78" s="10" t="s">
        <v>128</v>
      </c>
      <c r="C78" s="10">
        <v>79</v>
      </c>
      <c r="D78" s="10">
        <v>32</v>
      </c>
      <c r="E78" s="10">
        <v>10</v>
      </c>
      <c r="F78" s="10">
        <v>45</v>
      </c>
      <c r="G78" s="10">
        <v>23</v>
      </c>
      <c r="H78" s="10">
        <v>83</v>
      </c>
      <c r="I78" s="9">
        <f t="shared" si="16"/>
        <v>272</v>
      </c>
      <c r="J78" t="str">
        <f>LEFT("sai",2)</f>
        <v>sa</v>
      </c>
      <c r="K78" t="str">
        <f t="shared" si="17"/>
        <v>med</v>
      </c>
      <c r="L78" t="str">
        <f t="shared" si="18"/>
        <v>hamm</v>
      </c>
      <c r="M78">
        <f t="shared" si="19"/>
        <v>8</v>
      </c>
      <c r="N78" t="str">
        <f t="shared" si="20"/>
        <v>mohammed</v>
      </c>
    </row>
    <row r="79" spans="1:16" x14ac:dyDescent="0.25">
      <c r="A79" s="11" t="s">
        <v>96</v>
      </c>
      <c r="B79" s="11" t="s">
        <v>130</v>
      </c>
      <c r="C79" s="11">
        <v>81</v>
      </c>
      <c r="D79" s="11">
        <v>59</v>
      </c>
      <c r="E79" s="11">
        <v>43</v>
      </c>
      <c r="F79" s="11">
        <v>40</v>
      </c>
      <c r="G79" s="11">
        <v>64</v>
      </c>
      <c r="H79" s="11">
        <v>72</v>
      </c>
      <c r="I79" s="9">
        <f t="shared" si="16"/>
        <v>359</v>
      </c>
      <c r="J79" t="str">
        <f>LEFT("sai",2)</f>
        <v>sa</v>
      </c>
      <c r="K79" t="str">
        <f t="shared" si="17"/>
        <v>med</v>
      </c>
      <c r="L79" t="str">
        <f t="shared" si="18"/>
        <v>hamm</v>
      </c>
      <c r="M79">
        <f t="shared" si="19"/>
        <v>8</v>
      </c>
      <c r="N79" t="str">
        <f t="shared" si="20"/>
        <v>mohammed</v>
      </c>
    </row>
    <row r="80" spans="1:16" x14ac:dyDescent="0.25">
      <c r="A80" s="10" t="s">
        <v>97</v>
      </c>
      <c r="B80" s="10" t="s">
        <v>133</v>
      </c>
      <c r="C80" s="10">
        <v>47</v>
      </c>
      <c r="D80" s="10">
        <v>83</v>
      </c>
      <c r="E80" s="10">
        <v>70</v>
      </c>
      <c r="F80" s="10">
        <v>93</v>
      </c>
      <c r="G80" s="10">
        <v>81</v>
      </c>
      <c r="H80" s="10">
        <v>55</v>
      </c>
      <c r="I80" s="9">
        <f t="shared" si="16"/>
        <v>429</v>
      </c>
      <c r="J80" t="str">
        <f>LEFT("priya",2)</f>
        <v>pr</v>
      </c>
      <c r="K80" t="str">
        <f t="shared" si="17"/>
        <v>med</v>
      </c>
      <c r="L80" t="str">
        <f t="shared" si="18"/>
        <v>hamm</v>
      </c>
      <c r="M80">
        <f t="shared" si="19"/>
        <v>8</v>
      </c>
      <c r="N80" t="str">
        <f t="shared" si="20"/>
        <v>mohammed</v>
      </c>
    </row>
    <row r="81" spans="1:14" x14ac:dyDescent="0.25">
      <c r="A81" s="11" t="s">
        <v>103</v>
      </c>
      <c r="B81" s="11" t="s">
        <v>133</v>
      </c>
      <c r="C81" s="11">
        <v>69</v>
      </c>
      <c r="D81" s="11">
        <v>34</v>
      </c>
      <c r="E81" s="11">
        <v>25</v>
      </c>
      <c r="F81" s="11">
        <v>20</v>
      </c>
      <c r="G81" s="11">
        <v>34</v>
      </c>
      <c r="H81" s="11">
        <v>65</v>
      </c>
      <c r="I81" s="9">
        <f t="shared" si="16"/>
        <v>247</v>
      </c>
      <c r="J81" t="str">
        <f>LEFT("kavya",2)</f>
        <v>ka</v>
      </c>
      <c r="K81" t="str">
        <f t="shared" si="17"/>
        <v>med</v>
      </c>
      <c r="L81" t="str">
        <f t="shared" si="18"/>
        <v>hamm</v>
      </c>
      <c r="M81">
        <f t="shared" si="19"/>
        <v>8</v>
      </c>
      <c r="N81" t="str">
        <f t="shared" si="20"/>
        <v>mohammed</v>
      </c>
    </row>
    <row r="82" spans="1:14" x14ac:dyDescent="0.25">
      <c r="A82" s="10" t="s">
        <v>151</v>
      </c>
      <c r="B82" s="10" t="s">
        <v>124</v>
      </c>
      <c r="C82" s="10">
        <v>63</v>
      </c>
      <c r="D82" s="10">
        <v>76</v>
      </c>
      <c r="E82" s="10">
        <v>42</v>
      </c>
      <c r="F82" s="10">
        <v>64</v>
      </c>
      <c r="G82" s="10">
        <v>39</v>
      </c>
      <c r="H82" s="10">
        <v>75</v>
      </c>
      <c r="I82" s="9">
        <f t="shared" si="16"/>
        <v>359</v>
      </c>
      <c r="J82" t="str">
        <f>LEFT("aanya",2)</f>
        <v>aa</v>
      </c>
      <c r="K82" t="str">
        <f t="shared" si="17"/>
        <v>med</v>
      </c>
      <c r="L82" t="str">
        <f t="shared" si="18"/>
        <v>hamm</v>
      </c>
      <c r="M82">
        <f t="shared" si="19"/>
        <v>8</v>
      </c>
      <c r="N82" t="str">
        <f t="shared" si="20"/>
        <v>mohammed</v>
      </c>
    </row>
    <row r="83" spans="1:14" x14ac:dyDescent="0.25">
      <c r="A83" s="11" t="s">
        <v>67</v>
      </c>
      <c r="B83" s="11" t="s">
        <v>127</v>
      </c>
      <c r="C83" s="11">
        <v>62</v>
      </c>
      <c r="D83" s="11">
        <v>75</v>
      </c>
      <c r="E83" s="11">
        <v>85</v>
      </c>
      <c r="F83" s="11">
        <v>96</v>
      </c>
      <c r="G83" s="11">
        <v>91</v>
      </c>
      <c r="H83" s="11">
        <v>92</v>
      </c>
      <c r="I83" s="9">
        <f t="shared" si="16"/>
        <v>501</v>
      </c>
      <c r="J83" t="str">
        <f>LEFT("ishaan",2)</f>
        <v>is</v>
      </c>
      <c r="K83" t="str">
        <f t="shared" si="17"/>
        <v>med</v>
      </c>
      <c r="L83" t="str">
        <f t="shared" si="18"/>
        <v>hamm</v>
      </c>
      <c r="M83">
        <f t="shared" si="19"/>
        <v>8</v>
      </c>
      <c r="N83" t="str">
        <f t="shared" si="20"/>
        <v>mohammed</v>
      </c>
    </row>
    <row r="84" spans="1:14" x14ac:dyDescent="0.25">
      <c r="A84" s="10" t="s">
        <v>109</v>
      </c>
      <c r="B84" s="10" t="s">
        <v>129</v>
      </c>
      <c r="C84" s="10">
        <v>66</v>
      </c>
      <c r="D84" s="10">
        <v>68</v>
      </c>
      <c r="E84" s="10">
        <v>89</v>
      </c>
      <c r="F84" s="10">
        <v>86</v>
      </c>
      <c r="G84" s="10">
        <v>81</v>
      </c>
      <c r="H84" s="10">
        <v>63</v>
      </c>
      <c r="I84" s="9">
        <f t="shared" si="16"/>
        <v>453</v>
      </c>
      <c r="J84" t="str">
        <f>LEFT("krishna",2)</f>
        <v>kr</v>
      </c>
      <c r="K84" t="str">
        <f t="shared" si="17"/>
        <v>med</v>
      </c>
      <c r="L84" t="str">
        <f t="shared" si="18"/>
        <v>hamm</v>
      </c>
      <c r="M84">
        <f t="shared" si="19"/>
        <v>8</v>
      </c>
      <c r="N84" t="str">
        <f t="shared" si="20"/>
        <v>mohammed</v>
      </c>
    </row>
    <row r="85" spans="1:14" x14ac:dyDescent="0.25">
      <c r="A85" s="11" t="s">
        <v>107</v>
      </c>
      <c r="B85" s="11" t="s">
        <v>132</v>
      </c>
      <c r="C85" s="11">
        <v>46</v>
      </c>
      <c r="D85" s="11">
        <v>29</v>
      </c>
      <c r="E85" s="11">
        <v>24</v>
      </c>
      <c r="F85" s="11">
        <v>58</v>
      </c>
      <c r="G85" s="11">
        <v>39</v>
      </c>
      <c r="H85" s="11">
        <v>59</v>
      </c>
      <c r="I85" s="9">
        <f t="shared" si="16"/>
        <v>255</v>
      </c>
      <c r="J85" t="str">
        <f>LEFT("aanya",2)</f>
        <v>aa</v>
      </c>
      <c r="K85" t="str">
        <f t="shared" si="17"/>
        <v>med</v>
      </c>
      <c r="L85" t="str">
        <f t="shared" si="18"/>
        <v>hamm</v>
      </c>
      <c r="M85">
        <f t="shared" si="19"/>
        <v>8</v>
      </c>
      <c r="N85" t="str">
        <f t="shared" si="20"/>
        <v>mohammed</v>
      </c>
    </row>
    <row r="86" spans="1:14" x14ac:dyDescent="0.25">
      <c r="A86" s="10" t="s">
        <v>105</v>
      </c>
      <c r="B86" s="10" t="s">
        <v>131</v>
      </c>
      <c r="C86" s="10">
        <v>83</v>
      </c>
      <c r="D86" s="10">
        <v>94</v>
      </c>
      <c r="E86" s="10">
        <v>67</v>
      </c>
      <c r="F86" s="10">
        <v>36</v>
      </c>
      <c r="G86" s="10">
        <v>49</v>
      </c>
      <c r="H86" s="10">
        <v>69</v>
      </c>
      <c r="I86" s="9">
        <f t="shared" si="16"/>
        <v>398</v>
      </c>
      <c r="J86" t="str">
        <f>LEFT("nan",2)</f>
        <v>na</v>
      </c>
      <c r="K86" t="str">
        <f t="shared" si="17"/>
        <v>med</v>
      </c>
      <c r="L86" t="str">
        <f t="shared" si="18"/>
        <v>hamm</v>
      </c>
      <c r="M86">
        <f t="shared" si="19"/>
        <v>8</v>
      </c>
      <c r="N86" t="str">
        <f t="shared" si="20"/>
        <v>mohammed</v>
      </c>
    </row>
    <row r="87" spans="1:14" x14ac:dyDescent="0.25">
      <c r="A87" s="11" t="s">
        <v>94</v>
      </c>
      <c r="B87" s="11" t="s">
        <v>128</v>
      </c>
      <c r="C87" s="11">
        <v>49</v>
      </c>
      <c r="D87" s="11">
        <v>72</v>
      </c>
      <c r="E87" s="11">
        <v>54</v>
      </c>
      <c r="F87" s="11">
        <v>32</v>
      </c>
      <c r="G87" s="11">
        <v>23</v>
      </c>
      <c r="H87" s="11">
        <v>23</v>
      </c>
      <c r="I87" s="9">
        <f t="shared" si="16"/>
        <v>253</v>
      </c>
      <c r="J87" t="str">
        <f>LEFT("va",2)</f>
        <v>va</v>
      </c>
      <c r="K87" t="str">
        <f t="shared" si="17"/>
        <v>med</v>
      </c>
      <c r="L87" t="str">
        <f t="shared" si="18"/>
        <v>hamm</v>
      </c>
      <c r="M87">
        <f t="shared" si="19"/>
        <v>8</v>
      </c>
      <c r="N87" t="str">
        <f t="shared" si="20"/>
        <v>mohammed</v>
      </c>
    </row>
    <row r="88" spans="1:14" x14ac:dyDescent="0.25">
      <c r="A88" s="10" t="s">
        <v>101</v>
      </c>
      <c r="B88" s="10" t="s">
        <v>130</v>
      </c>
      <c r="C88" s="10">
        <v>99</v>
      </c>
      <c r="D88" s="10">
        <v>57</v>
      </c>
      <c r="E88" s="10">
        <v>99</v>
      </c>
      <c r="F88" s="10">
        <v>48</v>
      </c>
      <c r="G88" s="10">
        <v>73</v>
      </c>
      <c r="H88" s="10">
        <v>99</v>
      </c>
      <c r="I88" s="9">
        <f t="shared" si="16"/>
        <v>475</v>
      </c>
      <c r="J88" t="str">
        <f>LEFT("ra",2)</f>
        <v>ra</v>
      </c>
      <c r="K88" t="str">
        <f t="shared" si="17"/>
        <v>med</v>
      </c>
      <c r="L88" t="str">
        <f t="shared" si="18"/>
        <v>hamm</v>
      </c>
      <c r="M88">
        <f t="shared" si="19"/>
        <v>8</v>
      </c>
      <c r="N88" t="str">
        <f t="shared" si="20"/>
        <v>mohammed</v>
      </c>
    </row>
    <row r="89" spans="1:14" x14ac:dyDescent="0.25">
      <c r="A89" s="11" t="s">
        <v>104</v>
      </c>
      <c r="B89" s="11" t="s">
        <v>129</v>
      </c>
      <c r="C89" s="11">
        <v>82</v>
      </c>
      <c r="D89" s="11">
        <v>55</v>
      </c>
      <c r="E89" s="11">
        <v>35</v>
      </c>
      <c r="F89" s="11">
        <v>76</v>
      </c>
      <c r="G89" s="11">
        <v>97</v>
      </c>
      <c r="H89" s="11">
        <v>37</v>
      </c>
      <c r="I89" s="9">
        <f t="shared" si="16"/>
        <v>382</v>
      </c>
      <c r="J89" t="str">
        <f>LEFT("nan",2)</f>
        <v>na</v>
      </c>
      <c r="K89" t="str">
        <f t="shared" si="17"/>
        <v>med</v>
      </c>
      <c r="L89" t="str">
        <f t="shared" si="18"/>
        <v>hamm</v>
      </c>
      <c r="M89">
        <f t="shared" si="19"/>
        <v>8</v>
      </c>
      <c r="N89" t="str">
        <f t="shared" si="20"/>
        <v>mohammed</v>
      </c>
    </row>
    <row r="90" spans="1:14" x14ac:dyDescent="0.25">
      <c r="A90" s="10" t="s">
        <v>114</v>
      </c>
      <c r="B90" s="10" t="s">
        <v>128</v>
      </c>
      <c r="C90" s="10">
        <v>30</v>
      </c>
      <c r="D90" s="10">
        <v>65</v>
      </c>
      <c r="E90" s="10">
        <v>42</v>
      </c>
      <c r="F90" s="10">
        <v>65</v>
      </c>
      <c r="G90" s="10">
        <v>45</v>
      </c>
      <c r="H90" s="10">
        <v>50</v>
      </c>
      <c r="I90" s="9">
        <f t="shared" si="16"/>
        <v>297</v>
      </c>
      <c r="J90" t="str">
        <f>LEFT("ay",2)</f>
        <v>ay</v>
      </c>
      <c r="K90" t="str">
        <f t="shared" si="17"/>
        <v>med</v>
      </c>
      <c r="L90" t="str">
        <f t="shared" si="18"/>
        <v>hamm</v>
      </c>
      <c r="M90">
        <f t="shared" si="19"/>
        <v>8</v>
      </c>
      <c r="N90" t="str">
        <f t="shared" si="20"/>
        <v>mohammed</v>
      </c>
    </row>
    <row r="91" spans="1:14" x14ac:dyDescent="0.25">
      <c r="A91" s="11" t="s">
        <v>100</v>
      </c>
      <c r="B91" s="11" t="s">
        <v>127</v>
      </c>
      <c r="C91" s="11">
        <v>51</v>
      </c>
      <c r="D91" s="11">
        <v>51</v>
      </c>
      <c r="E91" s="11">
        <v>95</v>
      </c>
      <c r="F91" s="11">
        <v>56</v>
      </c>
      <c r="G91" s="11">
        <v>68</v>
      </c>
      <c r="H91" s="11">
        <v>89</v>
      </c>
      <c r="I91" s="9">
        <f t="shared" si="16"/>
        <v>410</v>
      </c>
      <c r="J91" t="str">
        <f>LEFT("ra",2)</f>
        <v>ra</v>
      </c>
      <c r="K91" t="str">
        <f t="shared" si="17"/>
        <v>med</v>
      </c>
      <c r="L91" t="str">
        <f t="shared" si="18"/>
        <v>hamm</v>
      </c>
      <c r="M91">
        <f t="shared" si="19"/>
        <v>8</v>
      </c>
      <c r="N91" t="str">
        <f t="shared" si="20"/>
        <v>mohammed</v>
      </c>
    </row>
    <row r="92" spans="1:14" x14ac:dyDescent="0.25">
      <c r="A92" s="10" t="s">
        <v>112</v>
      </c>
      <c r="B92" s="10" t="s">
        <v>124</v>
      </c>
      <c r="C92" s="10">
        <v>60</v>
      </c>
      <c r="D92" s="10">
        <v>74</v>
      </c>
      <c r="E92" s="10">
        <v>87</v>
      </c>
      <c r="F92" s="10">
        <v>96</v>
      </c>
      <c r="G92" s="10">
        <v>91</v>
      </c>
      <c r="H92" s="10">
        <v>92</v>
      </c>
      <c r="I92" s="9">
        <f t="shared" si="16"/>
        <v>500</v>
      </c>
      <c r="J92" t="str">
        <f>LEFT("dhruv",2)</f>
        <v>dh</v>
      </c>
      <c r="K92" t="str">
        <f t="shared" si="17"/>
        <v>med</v>
      </c>
      <c r="L92" t="str">
        <f t="shared" si="18"/>
        <v>hamm</v>
      </c>
      <c r="M92">
        <f t="shared" si="19"/>
        <v>8</v>
      </c>
      <c r="N92" t="str">
        <f t="shared" si="20"/>
        <v>mohammed</v>
      </c>
    </row>
    <row r="94" spans="1:14" ht="21" x14ac:dyDescent="0.35">
      <c r="C94" s="29" t="s">
        <v>150</v>
      </c>
    </row>
    <row r="95" spans="1:14" ht="21" x14ac:dyDescent="0.25">
      <c r="C95" s="28" t="s">
        <v>149</v>
      </c>
    </row>
    <row r="96" spans="1:14" x14ac:dyDescent="0.25">
      <c r="A96" s="22" t="s">
        <v>84</v>
      </c>
      <c r="B96" s="22" t="s">
        <v>91</v>
      </c>
      <c r="C96" s="22" t="s">
        <v>141</v>
      </c>
      <c r="D96" s="22" t="s">
        <v>140</v>
      </c>
      <c r="E96" s="22" t="s">
        <v>139</v>
      </c>
      <c r="F96" s="22" t="s">
        <v>138</v>
      </c>
      <c r="G96" s="22" t="s">
        <v>137</v>
      </c>
      <c r="H96" s="22" t="s">
        <v>136</v>
      </c>
      <c r="I96" s="21" t="s">
        <v>135</v>
      </c>
      <c r="J96" s="21" t="s">
        <v>148</v>
      </c>
    </row>
    <row r="97" spans="1:10" x14ac:dyDescent="0.25">
      <c r="A97" s="10" t="s">
        <v>106</v>
      </c>
      <c r="B97" s="10" t="s">
        <v>134</v>
      </c>
      <c r="C97" s="10">
        <v>50</v>
      </c>
      <c r="D97" s="10">
        <v>60</v>
      </c>
      <c r="E97" s="10">
        <v>35</v>
      </c>
      <c r="F97" s="10">
        <v>54</v>
      </c>
      <c r="G97" s="10">
        <v>86</v>
      </c>
      <c r="H97" s="10">
        <v>38</v>
      </c>
      <c r="I97" s="9">
        <f t="shared" ref="I97:I119" si="21">SUM(C97:H97)</f>
        <v>323</v>
      </c>
      <c r="J97" t="str">
        <f t="shared" ref="J97:J119" si="22">CLEAN(A97)</f>
        <v>Mohammed Singh</v>
      </c>
    </row>
    <row r="98" spans="1:10" x14ac:dyDescent="0.25">
      <c r="A98" s="11" t="s">
        <v>113</v>
      </c>
      <c r="B98" s="11" t="s">
        <v>134</v>
      </c>
      <c r="C98" s="11">
        <v>38</v>
      </c>
      <c r="D98" s="11">
        <v>46</v>
      </c>
      <c r="E98" s="11">
        <v>62</v>
      </c>
      <c r="F98" s="11">
        <v>64</v>
      </c>
      <c r="G98" s="11">
        <v>99</v>
      </c>
      <c r="H98" s="11">
        <v>38</v>
      </c>
      <c r="I98" s="9">
        <f t="shared" si="21"/>
        <v>347</v>
      </c>
      <c r="J98" t="str">
        <f t="shared" si="22"/>
        <v>Deepika Tiwari</v>
      </c>
    </row>
    <row r="99" spans="1:10" x14ac:dyDescent="0.25">
      <c r="A99" s="10" t="s">
        <v>110</v>
      </c>
      <c r="B99" s="10" t="s">
        <v>124</v>
      </c>
      <c r="C99" s="10">
        <v>88</v>
      </c>
      <c r="D99" s="10">
        <v>42</v>
      </c>
      <c r="E99" s="10">
        <v>45</v>
      </c>
      <c r="F99" s="10">
        <v>32</v>
      </c>
      <c r="G99" s="10">
        <v>34</v>
      </c>
      <c r="H99" s="10">
        <v>56</v>
      </c>
      <c r="I99" s="9">
        <f t="shared" si="21"/>
        <v>297</v>
      </c>
      <c r="J99" t="str">
        <f t="shared" si="22"/>
        <v>Harsh Mehta</v>
      </c>
    </row>
    <row r="100" spans="1:10" x14ac:dyDescent="0.25">
      <c r="A100" s="11" t="s">
        <v>115</v>
      </c>
      <c r="B100" s="11" t="s">
        <v>128</v>
      </c>
      <c r="C100" s="11">
        <v>70</v>
      </c>
      <c r="D100" s="11">
        <v>54</v>
      </c>
      <c r="E100" s="11">
        <v>62</v>
      </c>
      <c r="F100" s="11">
        <v>78</v>
      </c>
      <c r="G100" s="11">
        <v>48</v>
      </c>
      <c r="H100" s="11">
        <v>46</v>
      </c>
      <c r="I100" s="9">
        <f t="shared" si="21"/>
        <v>358</v>
      </c>
      <c r="J100" t="str">
        <f t="shared" si="22"/>
        <v>Aryan Tiwari</v>
      </c>
    </row>
    <row r="101" spans="1:10" x14ac:dyDescent="0.25">
      <c r="A101" s="10" t="s">
        <v>108</v>
      </c>
      <c r="B101" s="10" t="s">
        <v>128</v>
      </c>
      <c r="C101" s="10">
        <v>79</v>
      </c>
      <c r="D101" s="10">
        <v>32</v>
      </c>
      <c r="E101" s="10">
        <v>10</v>
      </c>
      <c r="F101" s="10">
        <v>45</v>
      </c>
      <c r="G101" s="10">
        <v>23</v>
      </c>
      <c r="H101" s="10">
        <v>83</v>
      </c>
      <c r="I101" s="9">
        <f t="shared" si="21"/>
        <v>272</v>
      </c>
      <c r="J101" t="str">
        <f t="shared" si="22"/>
        <v>Kavya Singh</v>
      </c>
    </row>
    <row r="102" spans="1:10" x14ac:dyDescent="0.25">
      <c r="A102" s="11" t="s">
        <v>96</v>
      </c>
      <c r="B102" s="11" t="s">
        <v>130</v>
      </c>
      <c r="C102" s="11">
        <v>81</v>
      </c>
      <c r="D102" s="11">
        <v>59</v>
      </c>
      <c r="E102" s="11">
        <v>43</v>
      </c>
      <c r="F102" s="11">
        <v>40</v>
      </c>
      <c r="G102" s="11">
        <v>64</v>
      </c>
      <c r="H102" s="11">
        <v>72</v>
      </c>
      <c r="I102" s="9">
        <f t="shared" si="21"/>
        <v>359</v>
      </c>
      <c r="J102" t="str">
        <f t="shared" si="22"/>
        <v>Sai Nair</v>
      </c>
    </row>
    <row r="103" spans="1:10" x14ac:dyDescent="0.25">
      <c r="A103" s="10" t="s">
        <v>97</v>
      </c>
      <c r="B103" s="10" t="s">
        <v>133</v>
      </c>
      <c r="C103" s="10">
        <v>47</v>
      </c>
      <c r="D103" s="10">
        <v>83</v>
      </c>
      <c r="E103" s="10">
        <v>70</v>
      </c>
      <c r="F103" s="10">
        <v>93</v>
      </c>
      <c r="G103" s="10">
        <v>81</v>
      </c>
      <c r="H103" s="10">
        <v>55</v>
      </c>
      <c r="I103" s="9">
        <f t="shared" si="21"/>
        <v>429</v>
      </c>
      <c r="J103" t="str">
        <f t="shared" si="22"/>
        <v>Sai Bhatia</v>
      </c>
    </row>
    <row r="104" spans="1:10" x14ac:dyDescent="0.25">
      <c r="A104" s="11" t="s">
        <v>103</v>
      </c>
      <c r="B104" s="11" t="s">
        <v>133</v>
      </c>
      <c r="C104" s="11">
        <v>69</v>
      </c>
      <c r="D104" s="11">
        <v>34</v>
      </c>
      <c r="E104" s="11">
        <v>25</v>
      </c>
      <c r="F104" s="11">
        <v>20</v>
      </c>
      <c r="G104" s="11">
        <v>34</v>
      </c>
      <c r="H104" s="11">
        <v>65</v>
      </c>
      <c r="I104" s="9">
        <f t="shared" si="21"/>
        <v>247</v>
      </c>
      <c r="J104" t="str">
        <f t="shared" si="22"/>
        <v>Priya Mishra</v>
      </c>
    </row>
    <row r="105" spans="1:10" x14ac:dyDescent="0.25">
      <c r="A105" s="10" t="s">
        <v>95</v>
      </c>
      <c r="B105" s="10" t="s">
        <v>124</v>
      </c>
      <c r="C105" s="10">
        <v>88</v>
      </c>
      <c r="D105" s="10">
        <v>42</v>
      </c>
      <c r="E105" s="10">
        <v>45</v>
      </c>
      <c r="F105" s="10">
        <v>32</v>
      </c>
      <c r="G105" s="10">
        <v>34</v>
      </c>
      <c r="H105" s="10">
        <v>56</v>
      </c>
      <c r="I105" s="9">
        <f t="shared" si="21"/>
        <v>297</v>
      </c>
      <c r="J105" t="str">
        <f t="shared" si="22"/>
        <v>sneha Mehta</v>
      </c>
    </row>
    <row r="106" spans="1:10" x14ac:dyDescent="0.25">
      <c r="A106" s="11" t="s">
        <v>67</v>
      </c>
      <c r="B106" s="11" t="s">
        <v>127</v>
      </c>
      <c r="C106" s="11">
        <v>62</v>
      </c>
      <c r="D106" s="11">
        <v>75</v>
      </c>
      <c r="E106" s="11">
        <v>85</v>
      </c>
      <c r="F106" s="11">
        <v>96</v>
      </c>
      <c r="G106" s="11">
        <v>91</v>
      </c>
      <c r="H106" s="11">
        <v>92</v>
      </c>
      <c r="I106" s="9">
        <f t="shared" si="21"/>
        <v>501</v>
      </c>
      <c r="J106" t="str">
        <f t="shared" si="22"/>
        <v>Aanya Chauhan</v>
      </c>
    </row>
    <row r="107" spans="1:10" x14ac:dyDescent="0.25">
      <c r="A107" s="10" t="s">
        <v>109</v>
      </c>
      <c r="B107" s="10" t="s">
        <v>129</v>
      </c>
      <c r="C107" s="10">
        <v>66</v>
      </c>
      <c r="D107" s="10">
        <v>68</v>
      </c>
      <c r="E107" s="10">
        <v>89</v>
      </c>
      <c r="F107" s="10">
        <v>86</v>
      </c>
      <c r="G107" s="10">
        <v>81</v>
      </c>
      <c r="H107" s="10">
        <v>63</v>
      </c>
      <c r="I107" s="9">
        <f t="shared" si="21"/>
        <v>453</v>
      </c>
      <c r="J107" t="str">
        <f t="shared" si="22"/>
        <v>Ishaan Chauhan</v>
      </c>
    </row>
    <row r="108" spans="1:10" x14ac:dyDescent="0.25">
      <c r="A108" s="11" t="s">
        <v>107</v>
      </c>
      <c r="B108" s="11" t="s">
        <v>132</v>
      </c>
      <c r="C108" s="11">
        <v>46</v>
      </c>
      <c r="D108" s="11">
        <v>29</v>
      </c>
      <c r="E108" s="11">
        <v>24</v>
      </c>
      <c r="F108" s="11">
        <v>58</v>
      </c>
      <c r="G108" s="11">
        <v>39</v>
      </c>
      <c r="H108" s="11">
        <v>59</v>
      </c>
      <c r="I108" s="9">
        <f t="shared" si="21"/>
        <v>255</v>
      </c>
      <c r="J108" t="str">
        <f t="shared" si="22"/>
        <v>Krishna Bose</v>
      </c>
    </row>
    <row r="109" spans="1:10" x14ac:dyDescent="0.25">
      <c r="A109" s="10" t="s">
        <v>105</v>
      </c>
      <c r="B109" s="10" t="s">
        <v>131</v>
      </c>
      <c r="C109" s="10">
        <v>83</v>
      </c>
      <c r="D109" s="10">
        <v>94</v>
      </c>
      <c r="E109" s="10">
        <v>67</v>
      </c>
      <c r="F109" s="10">
        <v>36</v>
      </c>
      <c r="G109" s="10">
        <v>49</v>
      </c>
      <c r="H109" s="10">
        <v>69</v>
      </c>
      <c r="I109" s="9">
        <f t="shared" si="21"/>
        <v>398</v>
      </c>
      <c r="J109" t="str">
        <f t="shared" si="22"/>
        <v>Nandini Gupta</v>
      </c>
    </row>
    <row r="110" spans="1:10" x14ac:dyDescent="0.25">
      <c r="A110" s="11" t="s">
        <v>94</v>
      </c>
      <c r="B110" s="11" t="s">
        <v>128</v>
      </c>
      <c r="C110" s="11">
        <v>49</v>
      </c>
      <c r="D110" s="11">
        <v>72</v>
      </c>
      <c r="E110" s="11">
        <v>54</v>
      </c>
      <c r="F110" s="11">
        <v>32</v>
      </c>
      <c r="G110" s="11">
        <v>23</v>
      </c>
      <c r="H110" s="11">
        <v>23</v>
      </c>
      <c r="I110" s="9">
        <f t="shared" si="21"/>
        <v>253</v>
      </c>
      <c r="J110" t="str">
        <f t="shared" si="22"/>
        <v>Varun Desai</v>
      </c>
    </row>
    <row r="111" spans="1:10" x14ac:dyDescent="0.25">
      <c r="A111" s="10" t="s">
        <v>101</v>
      </c>
      <c r="B111" s="10" t="s">
        <v>130</v>
      </c>
      <c r="C111" s="10">
        <v>99</v>
      </c>
      <c r="D111" s="10">
        <v>57</v>
      </c>
      <c r="E111" s="10">
        <v>99</v>
      </c>
      <c r="F111" s="10">
        <v>48</v>
      </c>
      <c r="G111" s="10">
        <v>73</v>
      </c>
      <c r="H111" s="10">
        <v>99</v>
      </c>
      <c r="I111" s="9">
        <f t="shared" si="21"/>
        <v>475</v>
      </c>
      <c r="J111" t="str">
        <f t="shared" si="22"/>
        <v>Rahul Chopra</v>
      </c>
    </row>
    <row r="112" spans="1:10" x14ac:dyDescent="0.25">
      <c r="A112" s="11" t="s">
        <v>104</v>
      </c>
      <c r="B112" s="11" t="s">
        <v>129</v>
      </c>
      <c r="C112" s="11">
        <v>82</v>
      </c>
      <c r="D112" s="11">
        <v>55</v>
      </c>
      <c r="E112" s="11">
        <v>35</v>
      </c>
      <c r="F112" s="11">
        <v>76</v>
      </c>
      <c r="G112" s="11">
        <v>97</v>
      </c>
      <c r="H112" s="11">
        <v>37</v>
      </c>
      <c r="I112" s="9">
        <f t="shared" si="21"/>
        <v>382</v>
      </c>
      <c r="J112" t="str">
        <f t="shared" si="22"/>
        <v>Nandini Mehta</v>
      </c>
    </row>
    <row r="113" spans="1:10" x14ac:dyDescent="0.25">
      <c r="A113" s="10" t="s">
        <v>114</v>
      </c>
      <c r="B113" s="10" t="s">
        <v>128</v>
      </c>
      <c r="C113" s="10">
        <v>30</v>
      </c>
      <c r="D113" s="10">
        <v>65</v>
      </c>
      <c r="E113" s="10">
        <v>42</v>
      </c>
      <c r="F113" s="10">
        <v>65</v>
      </c>
      <c r="G113" s="10">
        <v>45</v>
      </c>
      <c r="H113" s="10">
        <v>50</v>
      </c>
      <c r="I113" s="9">
        <f t="shared" si="21"/>
        <v>297</v>
      </c>
      <c r="J113" t="str">
        <f t="shared" si="22"/>
        <v>Ayaan Dhawan</v>
      </c>
    </row>
    <row r="114" spans="1:10" x14ac:dyDescent="0.25">
      <c r="A114" s="11" t="s">
        <v>100</v>
      </c>
      <c r="B114" s="11" t="s">
        <v>127</v>
      </c>
      <c r="C114" s="11">
        <v>51</v>
      </c>
      <c r="D114" s="11">
        <v>51</v>
      </c>
      <c r="E114" s="11">
        <v>95</v>
      </c>
      <c r="F114" s="11">
        <v>56</v>
      </c>
      <c r="G114" s="11">
        <v>68</v>
      </c>
      <c r="H114" s="11">
        <v>89</v>
      </c>
      <c r="I114" s="9">
        <f t="shared" si="21"/>
        <v>410</v>
      </c>
      <c r="J114" t="str">
        <f t="shared" si="22"/>
        <v>Rahul Dubey</v>
      </c>
    </row>
    <row r="115" spans="1:10" x14ac:dyDescent="0.25">
      <c r="A115" s="10" t="s">
        <v>112</v>
      </c>
      <c r="B115" s="10" t="s">
        <v>124</v>
      </c>
      <c r="C115" s="10">
        <v>60</v>
      </c>
      <c r="D115" s="10">
        <v>74</v>
      </c>
      <c r="E115" s="10">
        <v>87</v>
      </c>
      <c r="F115" s="10">
        <v>96</v>
      </c>
      <c r="G115" s="10">
        <v>91</v>
      </c>
      <c r="H115" s="10">
        <v>92</v>
      </c>
      <c r="I115" s="9">
        <f t="shared" si="21"/>
        <v>500</v>
      </c>
      <c r="J115" t="str">
        <f t="shared" si="22"/>
        <v>Dhruv Dhawan</v>
      </c>
    </row>
    <row r="116" spans="1:10" x14ac:dyDescent="0.25">
      <c r="A116" t="s">
        <v>98</v>
      </c>
      <c r="B116" t="s">
        <v>124</v>
      </c>
      <c r="C116">
        <v>50</v>
      </c>
      <c r="D116">
        <v>45</v>
      </c>
      <c r="E116">
        <v>76</v>
      </c>
      <c r="F116">
        <v>67</v>
      </c>
      <c r="G116">
        <v>87</v>
      </c>
      <c r="H116">
        <v>89</v>
      </c>
      <c r="I116" s="9">
        <f t="shared" si="21"/>
        <v>414</v>
      </c>
      <c r="J116" t="str">
        <f t="shared" si="22"/>
        <v>Ram Sharma</v>
      </c>
    </row>
    <row r="117" spans="1:10" x14ac:dyDescent="0.25">
      <c r="A117" s="9" t="s">
        <v>99</v>
      </c>
      <c r="B117" t="s">
        <v>125</v>
      </c>
      <c r="C117" s="9">
        <v>45</v>
      </c>
      <c r="D117" s="9">
        <v>54</v>
      </c>
      <c r="E117" s="9">
        <v>54</v>
      </c>
      <c r="F117" s="9">
        <v>44</v>
      </c>
      <c r="G117" s="9">
        <v>65</v>
      </c>
      <c r="H117" s="9">
        <v>78</v>
      </c>
      <c r="I117" s="9">
        <f t="shared" si="21"/>
        <v>340</v>
      </c>
      <c r="J117" t="str">
        <f t="shared" si="22"/>
        <v>Ram Mehta</v>
      </c>
    </row>
    <row r="118" spans="1:10" x14ac:dyDescent="0.25">
      <c r="A118" t="s">
        <v>111</v>
      </c>
      <c r="B118" t="s">
        <v>126</v>
      </c>
      <c r="C118">
        <v>20</v>
      </c>
      <c r="D118">
        <v>56</v>
      </c>
      <c r="E118">
        <v>67</v>
      </c>
      <c r="F118">
        <v>89</v>
      </c>
      <c r="G118">
        <v>67</v>
      </c>
      <c r="H118">
        <v>87</v>
      </c>
      <c r="I118" s="9">
        <f t="shared" si="21"/>
        <v>386</v>
      </c>
      <c r="J118" t="str">
        <f t="shared" si="22"/>
        <v>Ganesh Mehta</v>
      </c>
    </row>
    <row r="119" spans="1:10" x14ac:dyDescent="0.25">
      <c r="A119" s="9" t="s">
        <v>102</v>
      </c>
      <c r="B119" t="s">
        <v>125</v>
      </c>
      <c r="C119" s="9">
        <v>20</v>
      </c>
      <c r="D119" s="9">
        <v>45</v>
      </c>
      <c r="E119" s="9">
        <v>65</v>
      </c>
      <c r="F119" s="9">
        <v>67</v>
      </c>
      <c r="G119" s="9">
        <v>56</v>
      </c>
      <c r="H119" s="9">
        <v>67</v>
      </c>
      <c r="I119" s="9">
        <f t="shared" si="21"/>
        <v>320</v>
      </c>
      <c r="J119" t="str">
        <f t="shared" si="22"/>
        <v>Rahul Bhuta</v>
      </c>
    </row>
    <row r="120" spans="1:10" x14ac:dyDescent="0.25">
      <c r="C120" s="30"/>
    </row>
    <row r="121" spans="1:10" x14ac:dyDescent="0.25">
      <c r="C121" s="30"/>
    </row>
    <row r="122" spans="1:10" x14ac:dyDescent="0.25">
      <c r="C122" s="30"/>
    </row>
    <row r="123" spans="1:10" x14ac:dyDescent="0.25">
      <c r="C123" s="30"/>
    </row>
    <row r="124" spans="1:10" x14ac:dyDescent="0.25">
      <c r="C124" s="30"/>
    </row>
    <row r="125" spans="1:10" x14ac:dyDescent="0.25">
      <c r="C125" s="30"/>
    </row>
    <row r="126" spans="1:10" x14ac:dyDescent="0.25">
      <c r="C126" s="30"/>
    </row>
    <row r="127" spans="1:10" x14ac:dyDescent="0.25">
      <c r="C127" s="30"/>
    </row>
    <row r="128" spans="1:10" x14ac:dyDescent="0.25">
      <c r="C128" s="30"/>
    </row>
    <row r="130" spans="1:9" ht="21" x14ac:dyDescent="0.35">
      <c r="C130" s="29" t="s">
        <v>147</v>
      </c>
    </row>
    <row r="131" spans="1:9" ht="21" x14ac:dyDescent="0.25">
      <c r="C131" s="28" t="s">
        <v>146</v>
      </c>
    </row>
    <row r="132" spans="1:9" x14ac:dyDescent="0.25">
      <c r="A132" s="22" t="s">
        <v>84</v>
      </c>
      <c r="B132" s="22" t="s">
        <v>91</v>
      </c>
      <c r="C132" s="22" t="s">
        <v>141</v>
      </c>
      <c r="D132" s="22" t="s">
        <v>140</v>
      </c>
      <c r="E132" s="22" t="s">
        <v>139</v>
      </c>
      <c r="F132" s="22" t="s">
        <v>138</v>
      </c>
      <c r="G132" s="22" t="s">
        <v>137</v>
      </c>
      <c r="H132" s="22" t="s">
        <v>136</v>
      </c>
      <c r="I132" s="21" t="s">
        <v>135</v>
      </c>
    </row>
    <row r="133" spans="1:9" x14ac:dyDescent="0.25">
      <c r="A133" s="10" t="s">
        <v>106</v>
      </c>
      <c r="B133" s="10" t="s">
        <v>124</v>
      </c>
      <c r="C133" s="10">
        <v>50</v>
      </c>
      <c r="D133" s="10">
        <v>60</v>
      </c>
      <c r="E133" s="10">
        <v>35</v>
      </c>
      <c r="F133" s="10">
        <v>54</v>
      </c>
      <c r="G133" s="10">
        <v>86</v>
      </c>
      <c r="H133" s="10">
        <v>38</v>
      </c>
      <c r="I133" s="9">
        <f t="shared" ref="I133:I155" si="23">SUM(C133:H133)</f>
        <v>323</v>
      </c>
    </row>
    <row r="134" spans="1:9" x14ac:dyDescent="0.25">
      <c r="A134" s="11" t="s">
        <v>113</v>
      </c>
      <c r="B134" s="11" t="s">
        <v>134</v>
      </c>
      <c r="C134" s="11">
        <v>38</v>
      </c>
      <c r="D134" s="11">
        <v>46</v>
      </c>
      <c r="E134" s="11">
        <v>62</v>
      </c>
      <c r="F134" s="11">
        <v>64</v>
      </c>
      <c r="G134" s="11">
        <v>99</v>
      </c>
      <c r="H134" s="11">
        <v>38</v>
      </c>
      <c r="I134" s="9">
        <f t="shared" si="23"/>
        <v>347</v>
      </c>
    </row>
    <row r="135" spans="1:9" x14ac:dyDescent="0.25">
      <c r="A135" s="10" t="s">
        <v>110</v>
      </c>
      <c r="B135" s="10" t="s">
        <v>124</v>
      </c>
      <c r="C135" s="10">
        <v>88</v>
      </c>
      <c r="D135" s="10">
        <v>42</v>
      </c>
      <c r="E135" s="10">
        <v>45</v>
      </c>
      <c r="F135" s="10">
        <v>32</v>
      </c>
      <c r="G135" s="10">
        <v>34</v>
      </c>
      <c r="H135" s="10">
        <v>56</v>
      </c>
      <c r="I135" s="9">
        <f t="shared" si="23"/>
        <v>297</v>
      </c>
    </row>
    <row r="136" spans="1:9" x14ac:dyDescent="0.25">
      <c r="A136" s="11" t="s">
        <v>115</v>
      </c>
      <c r="B136" s="11" t="s">
        <v>128</v>
      </c>
      <c r="C136" s="11">
        <v>70</v>
      </c>
      <c r="D136" s="11">
        <v>54</v>
      </c>
      <c r="E136" s="11">
        <v>62</v>
      </c>
      <c r="F136" s="11">
        <v>78</v>
      </c>
      <c r="G136" s="11">
        <v>48</v>
      </c>
      <c r="H136" s="11">
        <v>46</v>
      </c>
      <c r="I136" s="9">
        <f t="shared" si="23"/>
        <v>358</v>
      </c>
    </row>
    <row r="137" spans="1:9" x14ac:dyDescent="0.25">
      <c r="A137" s="10" t="s">
        <v>108</v>
      </c>
      <c r="B137" s="10" t="s">
        <v>128</v>
      </c>
      <c r="C137" s="10">
        <v>79</v>
      </c>
      <c r="D137" s="10">
        <v>32</v>
      </c>
      <c r="E137" s="10">
        <v>10</v>
      </c>
      <c r="F137" s="10">
        <v>45</v>
      </c>
      <c r="G137" s="10">
        <v>23</v>
      </c>
      <c r="H137" s="10">
        <v>83</v>
      </c>
      <c r="I137" s="9">
        <f t="shared" si="23"/>
        <v>272</v>
      </c>
    </row>
    <row r="138" spans="1:9" x14ac:dyDescent="0.25">
      <c r="A138" s="11" t="s">
        <v>96</v>
      </c>
      <c r="B138" s="11" t="s">
        <v>130</v>
      </c>
      <c r="C138" s="11">
        <v>81</v>
      </c>
      <c r="D138" s="11">
        <v>59</v>
      </c>
      <c r="E138" s="11">
        <v>43</v>
      </c>
      <c r="F138" s="11">
        <v>40</v>
      </c>
      <c r="G138" s="11">
        <v>64</v>
      </c>
      <c r="H138" s="11">
        <v>72</v>
      </c>
      <c r="I138" s="9">
        <f t="shared" si="23"/>
        <v>359</v>
      </c>
    </row>
    <row r="139" spans="1:9" x14ac:dyDescent="0.25">
      <c r="A139" s="10" t="s">
        <v>97</v>
      </c>
      <c r="B139" s="10" t="s">
        <v>133</v>
      </c>
      <c r="C139" s="10">
        <v>47</v>
      </c>
      <c r="D139" s="10">
        <v>83</v>
      </c>
      <c r="E139" s="10">
        <v>70</v>
      </c>
      <c r="F139" s="10">
        <v>93</v>
      </c>
      <c r="G139" s="10">
        <v>81</v>
      </c>
      <c r="H139" s="10">
        <v>55</v>
      </c>
      <c r="I139" s="9">
        <f t="shared" si="23"/>
        <v>429</v>
      </c>
    </row>
    <row r="140" spans="1:9" x14ac:dyDescent="0.25">
      <c r="A140" s="11" t="s">
        <v>103</v>
      </c>
      <c r="B140" s="11" t="s">
        <v>133</v>
      </c>
      <c r="C140" s="11">
        <v>69</v>
      </c>
      <c r="D140" s="11">
        <v>34</v>
      </c>
      <c r="E140" s="11">
        <v>25</v>
      </c>
      <c r="F140" s="11">
        <v>20</v>
      </c>
      <c r="G140" s="11">
        <v>34</v>
      </c>
      <c r="H140" s="11">
        <v>65</v>
      </c>
      <c r="I140" s="9">
        <f t="shared" si="23"/>
        <v>247</v>
      </c>
    </row>
    <row r="141" spans="1:9" x14ac:dyDescent="0.25">
      <c r="A141" s="10" t="s">
        <v>95</v>
      </c>
      <c r="B141" s="10" t="s">
        <v>124</v>
      </c>
      <c r="C141" s="10">
        <v>88</v>
      </c>
      <c r="D141" s="10">
        <v>42</v>
      </c>
      <c r="E141" s="10">
        <v>45</v>
      </c>
      <c r="F141" s="10">
        <v>32</v>
      </c>
      <c r="G141" s="10">
        <v>34</v>
      </c>
      <c r="H141" s="10">
        <v>56</v>
      </c>
      <c r="I141" s="9">
        <f t="shared" si="23"/>
        <v>297</v>
      </c>
    </row>
    <row r="142" spans="1:9" x14ac:dyDescent="0.25">
      <c r="A142" s="11" t="s">
        <v>67</v>
      </c>
      <c r="B142" s="11" t="s">
        <v>127</v>
      </c>
      <c r="C142" s="11">
        <v>62</v>
      </c>
      <c r="D142" s="11">
        <v>75</v>
      </c>
      <c r="E142" s="11">
        <v>85</v>
      </c>
      <c r="F142" s="11">
        <v>96</v>
      </c>
      <c r="G142" s="11">
        <v>91</v>
      </c>
      <c r="H142" s="11">
        <v>92</v>
      </c>
      <c r="I142" s="9">
        <f t="shared" si="23"/>
        <v>501</v>
      </c>
    </row>
    <row r="143" spans="1:9" x14ac:dyDescent="0.25">
      <c r="A143" s="10" t="s">
        <v>109</v>
      </c>
      <c r="B143" s="10" t="s">
        <v>129</v>
      </c>
      <c r="C143" s="10">
        <v>66</v>
      </c>
      <c r="D143" s="10">
        <v>68</v>
      </c>
      <c r="E143" s="10">
        <v>89</v>
      </c>
      <c r="F143" s="10">
        <v>86</v>
      </c>
      <c r="G143" s="10">
        <v>81</v>
      </c>
      <c r="H143" s="10">
        <v>63</v>
      </c>
      <c r="I143" s="9">
        <f t="shared" si="23"/>
        <v>453</v>
      </c>
    </row>
    <row r="144" spans="1:9" x14ac:dyDescent="0.25">
      <c r="A144" s="11" t="s">
        <v>107</v>
      </c>
      <c r="B144" s="11" t="s">
        <v>132</v>
      </c>
      <c r="C144" s="11">
        <v>46</v>
      </c>
      <c r="D144" s="11">
        <v>29</v>
      </c>
      <c r="E144" s="11">
        <v>24</v>
      </c>
      <c r="F144" s="11">
        <v>58</v>
      </c>
      <c r="G144" s="11">
        <v>39</v>
      </c>
      <c r="H144" s="11">
        <v>59</v>
      </c>
      <c r="I144" s="9">
        <f t="shared" si="23"/>
        <v>255</v>
      </c>
    </row>
    <row r="145" spans="1:11" x14ac:dyDescent="0.25">
      <c r="A145" s="10" t="s">
        <v>105</v>
      </c>
      <c r="B145" s="10" t="s">
        <v>131</v>
      </c>
      <c r="C145" s="10">
        <v>83</v>
      </c>
      <c r="D145" s="10">
        <v>94</v>
      </c>
      <c r="E145" s="10">
        <v>67</v>
      </c>
      <c r="F145" s="10">
        <v>36</v>
      </c>
      <c r="G145" s="10">
        <v>49</v>
      </c>
      <c r="H145" s="10">
        <v>69</v>
      </c>
      <c r="I145" s="9">
        <f t="shared" si="23"/>
        <v>398</v>
      </c>
    </row>
    <row r="146" spans="1:11" x14ac:dyDescent="0.25">
      <c r="A146" s="11" t="s">
        <v>94</v>
      </c>
      <c r="B146" s="11" t="s">
        <v>128</v>
      </c>
      <c r="C146" s="11">
        <v>49</v>
      </c>
      <c r="D146" s="11">
        <v>72</v>
      </c>
      <c r="E146" s="11">
        <v>54</v>
      </c>
      <c r="F146" s="11">
        <v>32</v>
      </c>
      <c r="G146" s="11">
        <v>23</v>
      </c>
      <c r="H146" s="11">
        <v>23</v>
      </c>
      <c r="I146" s="9">
        <f t="shared" si="23"/>
        <v>253</v>
      </c>
    </row>
    <row r="147" spans="1:11" x14ac:dyDescent="0.25">
      <c r="A147" s="10" t="s">
        <v>101</v>
      </c>
      <c r="B147" s="10" t="s">
        <v>130</v>
      </c>
      <c r="C147" s="10">
        <v>99</v>
      </c>
      <c r="D147" s="10">
        <v>57</v>
      </c>
      <c r="E147" s="10">
        <v>99</v>
      </c>
      <c r="F147" s="10">
        <v>48</v>
      </c>
      <c r="G147" s="10">
        <v>73</v>
      </c>
      <c r="H147" s="10">
        <v>99</v>
      </c>
      <c r="I147" s="9">
        <f t="shared" si="23"/>
        <v>475</v>
      </c>
      <c r="K147" s="27"/>
    </row>
    <row r="148" spans="1:11" x14ac:dyDescent="0.25">
      <c r="A148" s="11" t="s">
        <v>104</v>
      </c>
      <c r="B148" s="11" t="s">
        <v>129</v>
      </c>
      <c r="C148" s="11">
        <v>82</v>
      </c>
      <c r="D148" s="11">
        <v>55</v>
      </c>
      <c r="E148" s="11">
        <v>35</v>
      </c>
      <c r="F148" s="11">
        <v>76</v>
      </c>
      <c r="G148" s="11">
        <v>97</v>
      </c>
      <c r="H148" s="11">
        <v>37</v>
      </c>
      <c r="I148" s="9">
        <f t="shared" si="23"/>
        <v>382</v>
      </c>
    </row>
    <row r="149" spans="1:11" x14ac:dyDescent="0.25">
      <c r="A149" s="10" t="s">
        <v>114</v>
      </c>
      <c r="B149" s="10" t="s">
        <v>128</v>
      </c>
      <c r="C149" s="10">
        <v>30</v>
      </c>
      <c r="D149" s="10">
        <v>65</v>
      </c>
      <c r="E149" s="10">
        <v>42</v>
      </c>
      <c r="F149" s="10">
        <v>65</v>
      </c>
      <c r="G149" s="10">
        <v>45</v>
      </c>
      <c r="H149" s="10">
        <v>50</v>
      </c>
      <c r="I149" s="9">
        <f t="shared" si="23"/>
        <v>297</v>
      </c>
    </row>
    <row r="150" spans="1:11" x14ac:dyDescent="0.25">
      <c r="A150" s="11" t="s">
        <v>100</v>
      </c>
      <c r="B150" s="11" t="s">
        <v>127</v>
      </c>
      <c r="C150" s="11">
        <v>51</v>
      </c>
      <c r="D150" s="11">
        <v>51</v>
      </c>
      <c r="E150" s="11">
        <v>95</v>
      </c>
      <c r="F150" s="11">
        <v>56</v>
      </c>
      <c r="G150" s="11">
        <v>68</v>
      </c>
      <c r="H150" s="11">
        <v>89</v>
      </c>
      <c r="I150" s="9">
        <f t="shared" si="23"/>
        <v>410</v>
      </c>
    </row>
    <row r="151" spans="1:11" x14ac:dyDescent="0.25">
      <c r="A151" s="10" t="s">
        <v>112</v>
      </c>
      <c r="B151" s="10" t="s">
        <v>124</v>
      </c>
      <c r="C151" s="10">
        <v>60</v>
      </c>
      <c r="D151" s="10">
        <v>74</v>
      </c>
      <c r="E151" s="10">
        <v>87</v>
      </c>
      <c r="F151" s="10">
        <v>96</v>
      </c>
      <c r="G151" s="10">
        <v>91</v>
      </c>
      <c r="H151" s="10">
        <v>92</v>
      </c>
      <c r="I151" s="9">
        <f t="shared" si="23"/>
        <v>500</v>
      </c>
    </row>
    <row r="152" spans="1:11" x14ac:dyDescent="0.25">
      <c r="A152" t="s">
        <v>98</v>
      </c>
      <c r="B152" t="s">
        <v>124</v>
      </c>
      <c r="C152">
        <v>50</v>
      </c>
      <c r="D152">
        <v>45</v>
      </c>
      <c r="E152">
        <v>76</v>
      </c>
      <c r="F152">
        <v>67</v>
      </c>
      <c r="G152">
        <v>87</v>
      </c>
      <c r="H152">
        <v>89</v>
      </c>
      <c r="I152" s="9">
        <f t="shared" si="23"/>
        <v>414</v>
      </c>
    </row>
    <row r="153" spans="1:11" x14ac:dyDescent="0.25">
      <c r="A153" s="9" t="s">
        <v>99</v>
      </c>
      <c r="B153" t="s">
        <v>125</v>
      </c>
      <c r="C153" s="9">
        <v>45</v>
      </c>
      <c r="D153" s="9">
        <v>54</v>
      </c>
      <c r="E153" s="9">
        <v>54</v>
      </c>
      <c r="F153" s="9">
        <v>44</v>
      </c>
      <c r="G153" s="9">
        <v>65</v>
      </c>
      <c r="H153" s="9">
        <v>78</v>
      </c>
      <c r="I153" s="9">
        <f t="shared" si="23"/>
        <v>340</v>
      </c>
    </row>
    <row r="154" spans="1:11" x14ac:dyDescent="0.25">
      <c r="A154" t="s">
        <v>111</v>
      </c>
      <c r="B154" t="s">
        <v>126</v>
      </c>
      <c r="C154">
        <v>20</v>
      </c>
      <c r="D154">
        <v>56</v>
      </c>
      <c r="E154">
        <v>67</v>
      </c>
      <c r="F154">
        <v>89</v>
      </c>
      <c r="G154">
        <v>67</v>
      </c>
      <c r="H154">
        <v>87</v>
      </c>
      <c r="I154" s="9">
        <f t="shared" si="23"/>
        <v>386</v>
      </c>
    </row>
    <row r="155" spans="1:11" x14ac:dyDescent="0.25">
      <c r="A155" s="9" t="s">
        <v>102</v>
      </c>
      <c r="B155" t="s">
        <v>125</v>
      </c>
      <c r="C155" s="9">
        <v>20</v>
      </c>
      <c r="D155" s="9">
        <v>45</v>
      </c>
      <c r="E155" s="9">
        <v>65</v>
      </c>
      <c r="F155" s="9">
        <v>67</v>
      </c>
      <c r="G155" s="9">
        <v>56</v>
      </c>
      <c r="H155" s="9">
        <v>67</v>
      </c>
      <c r="I155" s="9">
        <f t="shared" si="23"/>
        <v>320</v>
      </c>
    </row>
    <row r="158" spans="1:11" ht="18.75" x14ac:dyDescent="0.3">
      <c r="C158" s="26" t="s">
        <v>145</v>
      </c>
    </row>
    <row r="159" spans="1:11" ht="18.75" x14ac:dyDescent="0.3">
      <c r="C159" s="25" t="s">
        <v>144</v>
      </c>
    </row>
    <row r="163" spans="1:9" x14ac:dyDescent="0.25">
      <c r="A163" s="22" t="s">
        <v>84</v>
      </c>
      <c r="B163" s="22" t="s">
        <v>91</v>
      </c>
      <c r="C163" s="22" t="s">
        <v>141</v>
      </c>
      <c r="D163" s="22" t="s">
        <v>140</v>
      </c>
      <c r="E163" s="22" t="s">
        <v>139</v>
      </c>
      <c r="F163" s="22" t="s">
        <v>138</v>
      </c>
      <c r="G163" s="22" t="s">
        <v>137</v>
      </c>
      <c r="H163" s="22" t="s">
        <v>136</v>
      </c>
      <c r="I163" s="21" t="s">
        <v>135</v>
      </c>
    </row>
    <row r="164" spans="1:9" x14ac:dyDescent="0.25">
      <c r="A164" s="10" t="s">
        <v>106</v>
      </c>
      <c r="B164" s="10" t="s">
        <v>134</v>
      </c>
      <c r="C164" s="10">
        <v>50</v>
      </c>
      <c r="D164" s="10">
        <v>60</v>
      </c>
      <c r="E164" s="10">
        <v>35</v>
      </c>
      <c r="F164" s="10">
        <v>54</v>
      </c>
      <c r="G164" s="10">
        <v>86</v>
      </c>
      <c r="H164" s="10">
        <v>38</v>
      </c>
      <c r="I164" s="9">
        <f t="shared" ref="I164:I186" si="24">SUM(C164:H164)</f>
        <v>323</v>
      </c>
    </row>
    <row r="165" spans="1:9" x14ac:dyDescent="0.25">
      <c r="A165" s="11" t="s">
        <v>113</v>
      </c>
      <c r="B165" s="11" t="s">
        <v>134</v>
      </c>
      <c r="C165" s="11">
        <v>38</v>
      </c>
      <c r="D165" s="11">
        <v>46</v>
      </c>
      <c r="E165" s="11">
        <v>62</v>
      </c>
      <c r="F165" s="11">
        <v>64</v>
      </c>
      <c r="G165" s="11">
        <v>99</v>
      </c>
      <c r="H165" s="11">
        <v>38</v>
      </c>
      <c r="I165" s="9">
        <f t="shared" si="24"/>
        <v>347</v>
      </c>
    </row>
    <row r="166" spans="1:9" x14ac:dyDescent="0.25">
      <c r="A166" s="10" t="s">
        <v>110</v>
      </c>
      <c r="B166" s="10" t="s">
        <v>124</v>
      </c>
      <c r="C166" s="10">
        <v>88</v>
      </c>
      <c r="D166" s="10">
        <v>42</v>
      </c>
      <c r="E166" s="10">
        <v>45</v>
      </c>
      <c r="F166" s="10">
        <v>32</v>
      </c>
      <c r="G166" s="10">
        <v>34</v>
      </c>
      <c r="H166" s="10">
        <v>56</v>
      </c>
      <c r="I166" s="9">
        <f t="shared" si="24"/>
        <v>297</v>
      </c>
    </row>
    <row r="167" spans="1:9" x14ac:dyDescent="0.25">
      <c r="A167" s="11" t="s">
        <v>115</v>
      </c>
      <c r="B167" s="11" t="s">
        <v>128</v>
      </c>
      <c r="C167" s="11">
        <v>70</v>
      </c>
      <c r="D167" s="11">
        <v>54</v>
      </c>
      <c r="E167" s="11">
        <v>62</v>
      </c>
      <c r="F167" s="11">
        <v>78</v>
      </c>
      <c r="G167" s="11">
        <v>48</v>
      </c>
      <c r="H167" s="11">
        <v>46</v>
      </c>
      <c r="I167" s="9">
        <f t="shared" si="24"/>
        <v>358</v>
      </c>
    </row>
    <row r="168" spans="1:9" x14ac:dyDescent="0.25">
      <c r="A168" s="10" t="s">
        <v>108</v>
      </c>
      <c r="B168" s="10" t="s">
        <v>128</v>
      </c>
      <c r="C168" s="10">
        <v>79</v>
      </c>
      <c r="D168" s="10">
        <v>32</v>
      </c>
      <c r="E168" s="10">
        <v>10</v>
      </c>
      <c r="F168" s="10">
        <v>45</v>
      </c>
      <c r="G168" s="10">
        <v>23</v>
      </c>
      <c r="H168" s="10">
        <v>83</v>
      </c>
      <c r="I168" s="9">
        <f t="shared" si="24"/>
        <v>272</v>
      </c>
    </row>
    <row r="169" spans="1:9" x14ac:dyDescent="0.25">
      <c r="A169" s="11" t="s">
        <v>96</v>
      </c>
      <c r="B169" s="11" t="s">
        <v>130</v>
      </c>
      <c r="C169" s="11">
        <v>81</v>
      </c>
      <c r="D169" s="11">
        <v>59</v>
      </c>
      <c r="E169" s="11">
        <v>43</v>
      </c>
      <c r="F169" s="11">
        <v>40</v>
      </c>
      <c r="G169" s="11">
        <v>64</v>
      </c>
      <c r="H169" s="11">
        <v>72</v>
      </c>
      <c r="I169" s="9">
        <f t="shared" si="24"/>
        <v>359</v>
      </c>
    </row>
    <row r="170" spans="1:9" x14ac:dyDescent="0.25">
      <c r="A170" s="10" t="s">
        <v>97</v>
      </c>
      <c r="B170" s="10" t="s">
        <v>133</v>
      </c>
      <c r="C170" s="10">
        <v>47</v>
      </c>
      <c r="D170" s="10">
        <v>83</v>
      </c>
      <c r="E170" s="10">
        <v>70</v>
      </c>
      <c r="F170" s="10">
        <v>93</v>
      </c>
      <c r="G170" s="10">
        <v>81</v>
      </c>
      <c r="H170" s="10">
        <v>55</v>
      </c>
      <c r="I170" s="9">
        <f t="shared" si="24"/>
        <v>429</v>
      </c>
    </row>
    <row r="171" spans="1:9" x14ac:dyDescent="0.25">
      <c r="A171" s="11" t="s">
        <v>103</v>
      </c>
      <c r="B171" s="11" t="s">
        <v>133</v>
      </c>
      <c r="C171" s="11">
        <v>69</v>
      </c>
      <c r="D171" s="11">
        <v>34</v>
      </c>
      <c r="E171" s="11">
        <v>25</v>
      </c>
      <c r="F171" s="11">
        <v>20</v>
      </c>
      <c r="G171" s="11">
        <v>34</v>
      </c>
      <c r="H171" s="11">
        <v>65</v>
      </c>
      <c r="I171" s="9">
        <f t="shared" si="24"/>
        <v>247</v>
      </c>
    </row>
    <row r="172" spans="1:9" x14ac:dyDescent="0.25">
      <c r="A172" s="10" t="s">
        <v>95</v>
      </c>
      <c r="B172" s="10" t="s">
        <v>124</v>
      </c>
      <c r="C172" s="10">
        <v>88</v>
      </c>
      <c r="D172" s="10">
        <v>42</v>
      </c>
      <c r="E172" s="10">
        <v>45</v>
      </c>
      <c r="F172" s="10">
        <v>32</v>
      </c>
      <c r="G172" s="10">
        <v>34</v>
      </c>
      <c r="H172" s="10">
        <v>56</v>
      </c>
      <c r="I172" s="9">
        <f t="shared" si="24"/>
        <v>297</v>
      </c>
    </row>
    <row r="173" spans="1:9" x14ac:dyDescent="0.25">
      <c r="A173" s="11" t="s">
        <v>67</v>
      </c>
      <c r="B173" s="11" t="s">
        <v>127</v>
      </c>
      <c r="C173" s="11">
        <v>62</v>
      </c>
      <c r="D173" s="11">
        <v>75</v>
      </c>
      <c r="E173" s="11">
        <v>85</v>
      </c>
      <c r="F173" s="11">
        <v>96</v>
      </c>
      <c r="G173" s="11">
        <v>91</v>
      </c>
      <c r="H173" s="11">
        <v>92</v>
      </c>
      <c r="I173" s="9">
        <f t="shared" si="24"/>
        <v>501</v>
      </c>
    </row>
    <row r="174" spans="1:9" x14ac:dyDescent="0.25">
      <c r="A174" s="10" t="s">
        <v>109</v>
      </c>
      <c r="B174" s="10" t="s">
        <v>129</v>
      </c>
      <c r="C174" s="10">
        <v>66</v>
      </c>
      <c r="D174" s="10">
        <v>68</v>
      </c>
      <c r="E174" s="10">
        <v>89</v>
      </c>
      <c r="F174" s="10">
        <v>86</v>
      </c>
      <c r="G174" s="10">
        <v>81</v>
      </c>
      <c r="H174" s="10">
        <v>63</v>
      </c>
      <c r="I174" s="9">
        <f t="shared" si="24"/>
        <v>453</v>
      </c>
    </row>
    <row r="175" spans="1:9" x14ac:dyDescent="0.25">
      <c r="A175" s="11" t="s">
        <v>107</v>
      </c>
      <c r="B175" s="11" t="s">
        <v>132</v>
      </c>
      <c r="C175" s="11">
        <v>46</v>
      </c>
      <c r="D175" s="11">
        <v>29</v>
      </c>
      <c r="E175" s="11">
        <v>24</v>
      </c>
      <c r="F175" s="11">
        <v>58</v>
      </c>
      <c r="G175" s="11">
        <v>39</v>
      </c>
      <c r="H175" s="11">
        <v>59</v>
      </c>
      <c r="I175" s="9">
        <f t="shared" si="24"/>
        <v>255</v>
      </c>
    </row>
    <row r="176" spans="1:9" x14ac:dyDescent="0.25">
      <c r="A176" s="10" t="s">
        <v>105</v>
      </c>
      <c r="B176" s="10" t="s">
        <v>131</v>
      </c>
      <c r="C176" s="10">
        <v>83</v>
      </c>
      <c r="D176" s="10">
        <v>94</v>
      </c>
      <c r="E176" s="10">
        <v>67</v>
      </c>
      <c r="F176" s="10">
        <v>36</v>
      </c>
      <c r="G176" s="10">
        <v>49</v>
      </c>
      <c r="H176" s="10">
        <v>69</v>
      </c>
      <c r="I176" s="9">
        <f t="shared" si="24"/>
        <v>398</v>
      </c>
    </row>
    <row r="177" spans="1:12" x14ac:dyDescent="0.25">
      <c r="A177" s="11" t="s">
        <v>94</v>
      </c>
      <c r="B177" s="11" t="s">
        <v>128</v>
      </c>
      <c r="C177" s="11">
        <v>49</v>
      </c>
      <c r="D177" s="11">
        <v>72</v>
      </c>
      <c r="E177" s="11">
        <v>54</v>
      </c>
      <c r="F177" s="11">
        <v>32</v>
      </c>
      <c r="G177" s="11">
        <v>23</v>
      </c>
      <c r="H177" s="11">
        <v>23</v>
      </c>
      <c r="I177" s="9">
        <f t="shared" si="24"/>
        <v>253</v>
      </c>
    </row>
    <row r="178" spans="1:12" x14ac:dyDescent="0.25">
      <c r="A178" s="10" t="s">
        <v>101</v>
      </c>
      <c r="B178" s="10" t="s">
        <v>130</v>
      </c>
      <c r="C178" s="10">
        <v>99</v>
      </c>
      <c r="D178" s="10">
        <v>57</v>
      </c>
      <c r="E178" s="10">
        <v>99</v>
      </c>
      <c r="F178" s="10">
        <v>48</v>
      </c>
      <c r="G178" s="10">
        <v>73</v>
      </c>
      <c r="H178" s="10">
        <v>99</v>
      </c>
      <c r="I178" s="9">
        <f t="shared" si="24"/>
        <v>475</v>
      </c>
    </row>
    <row r="179" spans="1:12" x14ac:dyDescent="0.25">
      <c r="A179" s="11" t="s">
        <v>104</v>
      </c>
      <c r="B179" s="11" t="s">
        <v>129</v>
      </c>
      <c r="C179" s="11">
        <v>82</v>
      </c>
      <c r="D179" s="11">
        <v>55</v>
      </c>
      <c r="E179" s="11">
        <v>35</v>
      </c>
      <c r="F179" s="11">
        <v>76</v>
      </c>
      <c r="G179" s="11">
        <v>97</v>
      </c>
      <c r="H179" s="11">
        <v>37</v>
      </c>
      <c r="I179" s="9">
        <f t="shared" si="24"/>
        <v>382</v>
      </c>
    </row>
    <row r="180" spans="1:12" x14ac:dyDescent="0.25">
      <c r="A180" s="10" t="s">
        <v>114</v>
      </c>
      <c r="B180" s="10" t="s">
        <v>128</v>
      </c>
      <c r="C180" s="10">
        <v>30</v>
      </c>
      <c r="D180" s="10">
        <v>65</v>
      </c>
      <c r="E180" s="10">
        <v>42</v>
      </c>
      <c r="F180" s="10">
        <v>65</v>
      </c>
      <c r="G180" s="10">
        <v>45</v>
      </c>
      <c r="H180" s="10">
        <v>50</v>
      </c>
      <c r="I180" s="9">
        <f t="shared" si="24"/>
        <v>297</v>
      </c>
    </row>
    <row r="181" spans="1:12" x14ac:dyDescent="0.25">
      <c r="A181" s="11" t="s">
        <v>100</v>
      </c>
      <c r="B181" s="11" t="s">
        <v>127</v>
      </c>
      <c r="C181" s="11">
        <v>51</v>
      </c>
      <c r="D181" s="11">
        <v>51</v>
      </c>
      <c r="E181" s="11">
        <v>95</v>
      </c>
      <c r="F181" s="11">
        <v>56</v>
      </c>
      <c r="G181" s="11">
        <v>68</v>
      </c>
      <c r="H181" s="11">
        <v>89</v>
      </c>
      <c r="I181" s="9">
        <f t="shared" si="24"/>
        <v>410</v>
      </c>
    </row>
    <row r="182" spans="1:12" x14ac:dyDescent="0.25">
      <c r="A182" s="10" t="s">
        <v>112</v>
      </c>
      <c r="B182" s="10" t="s">
        <v>124</v>
      </c>
      <c r="C182" s="10">
        <v>60</v>
      </c>
      <c r="D182" s="10">
        <v>74</v>
      </c>
      <c r="E182" s="10">
        <v>87</v>
      </c>
      <c r="F182" s="10">
        <v>96</v>
      </c>
      <c r="G182" s="10">
        <v>91</v>
      </c>
      <c r="H182" s="10">
        <v>92</v>
      </c>
      <c r="I182" s="9">
        <f t="shared" si="24"/>
        <v>500</v>
      </c>
    </row>
    <row r="183" spans="1:12" x14ac:dyDescent="0.25">
      <c r="A183" t="s">
        <v>98</v>
      </c>
      <c r="B183" t="s">
        <v>124</v>
      </c>
      <c r="C183">
        <v>50</v>
      </c>
      <c r="D183">
        <v>45</v>
      </c>
      <c r="E183">
        <v>76</v>
      </c>
      <c r="F183">
        <v>67</v>
      </c>
      <c r="G183">
        <v>87</v>
      </c>
      <c r="H183">
        <v>89</v>
      </c>
      <c r="I183" s="9">
        <f t="shared" si="24"/>
        <v>414</v>
      </c>
    </row>
    <row r="184" spans="1:12" x14ac:dyDescent="0.25">
      <c r="A184" s="9" t="s">
        <v>99</v>
      </c>
      <c r="B184" t="s">
        <v>125</v>
      </c>
      <c r="C184" s="9">
        <v>45</v>
      </c>
      <c r="D184" s="9">
        <v>54</v>
      </c>
      <c r="E184" s="9">
        <v>54</v>
      </c>
      <c r="F184" s="9">
        <v>44</v>
      </c>
      <c r="G184" s="9">
        <v>65</v>
      </c>
      <c r="H184" s="9">
        <v>78</v>
      </c>
      <c r="I184" s="9">
        <f t="shared" si="24"/>
        <v>340</v>
      </c>
    </row>
    <row r="185" spans="1:12" x14ac:dyDescent="0.25">
      <c r="A185" t="s">
        <v>111</v>
      </c>
      <c r="B185" t="s">
        <v>126</v>
      </c>
      <c r="C185">
        <v>20</v>
      </c>
      <c r="D185">
        <v>56</v>
      </c>
      <c r="E185">
        <v>67</v>
      </c>
      <c r="F185">
        <v>89</v>
      </c>
      <c r="G185">
        <v>67</v>
      </c>
      <c r="H185">
        <v>87</v>
      </c>
      <c r="I185" s="9">
        <f t="shared" si="24"/>
        <v>386</v>
      </c>
    </row>
    <row r="186" spans="1:12" x14ac:dyDescent="0.25">
      <c r="A186" s="9" t="s">
        <v>102</v>
      </c>
      <c r="B186" t="s">
        <v>125</v>
      </c>
      <c r="C186" s="9">
        <v>20</v>
      </c>
      <c r="D186" s="9">
        <v>45</v>
      </c>
      <c r="E186" s="9">
        <v>65</v>
      </c>
      <c r="F186" s="9">
        <v>67</v>
      </c>
      <c r="G186" s="9">
        <v>56</v>
      </c>
      <c r="H186" s="9">
        <v>67</v>
      </c>
      <c r="I186" s="9">
        <f t="shared" si="24"/>
        <v>320</v>
      </c>
    </row>
    <row r="187" spans="1:12" x14ac:dyDescent="0.25">
      <c r="A187" s="9"/>
      <c r="C187" s="9"/>
      <c r="D187" s="9"/>
      <c r="E187" s="9"/>
      <c r="F187" s="9"/>
      <c r="G187" s="9"/>
      <c r="H187" s="9"/>
      <c r="I187" s="9"/>
    </row>
    <row r="188" spans="1:12" x14ac:dyDescent="0.25">
      <c r="C188" s="24" t="s">
        <v>143</v>
      </c>
    </row>
    <row r="189" spans="1:12" ht="60" x14ac:dyDescent="0.25">
      <c r="C189" s="23" t="s">
        <v>142</v>
      </c>
    </row>
    <row r="190" spans="1:12" x14ac:dyDescent="0.25">
      <c r="A190" s="22" t="s">
        <v>84</v>
      </c>
      <c r="B190" s="22" t="s">
        <v>91</v>
      </c>
      <c r="C190" s="22" t="s">
        <v>141</v>
      </c>
      <c r="D190" s="22" t="s">
        <v>140</v>
      </c>
      <c r="E190" s="22" t="s">
        <v>139</v>
      </c>
      <c r="F190" s="22" t="s">
        <v>138</v>
      </c>
      <c r="G190" s="22" t="s">
        <v>137</v>
      </c>
      <c r="H190" s="22" t="s">
        <v>136</v>
      </c>
      <c r="I190" s="21" t="s">
        <v>135</v>
      </c>
      <c r="J190" s="20"/>
      <c r="K190" s="19"/>
      <c r="L190" s="18"/>
    </row>
    <row r="191" spans="1:12" x14ac:dyDescent="0.25">
      <c r="A191" s="10" t="s">
        <v>106</v>
      </c>
      <c r="B191" s="10" t="s">
        <v>134</v>
      </c>
      <c r="C191" s="10">
        <v>50</v>
      </c>
      <c r="D191" s="10">
        <v>60</v>
      </c>
      <c r="E191" s="10">
        <v>35</v>
      </c>
      <c r="F191" s="10">
        <v>54</v>
      </c>
      <c r="G191" s="10">
        <v>86</v>
      </c>
      <c r="H191" s="10">
        <v>38</v>
      </c>
      <c r="I191" s="9">
        <f t="shared" ref="I191:I216" si="25">SUM(C191:H191)</f>
        <v>323</v>
      </c>
      <c r="J191" s="17"/>
      <c r="K191" s="16"/>
      <c r="L191" s="15"/>
    </row>
    <row r="192" spans="1:12" x14ac:dyDescent="0.25">
      <c r="A192" s="11" t="s">
        <v>113</v>
      </c>
      <c r="B192" s="11" t="s">
        <v>134</v>
      </c>
      <c r="C192" s="11">
        <v>38</v>
      </c>
      <c r="D192" s="11">
        <v>46</v>
      </c>
      <c r="E192" s="11">
        <v>62</v>
      </c>
      <c r="F192" s="11">
        <v>64</v>
      </c>
      <c r="G192" s="11">
        <v>99</v>
      </c>
      <c r="H192" s="11">
        <v>38</v>
      </c>
      <c r="I192" s="9">
        <f t="shared" si="25"/>
        <v>347</v>
      </c>
      <c r="J192" s="17"/>
      <c r="K192" s="16"/>
      <c r="L192" s="15"/>
    </row>
    <row r="193" spans="1:12" x14ac:dyDescent="0.25">
      <c r="A193" s="10" t="s">
        <v>110</v>
      </c>
      <c r="B193" s="10" t="s">
        <v>124</v>
      </c>
      <c r="C193" s="10">
        <v>88</v>
      </c>
      <c r="D193" s="10">
        <v>42</v>
      </c>
      <c r="E193" s="10">
        <v>45</v>
      </c>
      <c r="F193" s="10">
        <v>32</v>
      </c>
      <c r="G193" s="10">
        <v>34</v>
      </c>
      <c r="H193" s="10">
        <v>56</v>
      </c>
      <c r="I193" s="9">
        <f t="shared" si="25"/>
        <v>297</v>
      </c>
      <c r="J193" s="17"/>
      <c r="K193" s="16"/>
      <c r="L193" s="15"/>
    </row>
    <row r="194" spans="1:12" x14ac:dyDescent="0.25">
      <c r="A194" s="11" t="s">
        <v>115</v>
      </c>
      <c r="B194" s="11" t="s">
        <v>128</v>
      </c>
      <c r="C194" s="11">
        <v>70</v>
      </c>
      <c r="D194" s="11">
        <v>54</v>
      </c>
      <c r="E194" s="11">
        <v>62</v>
      </c>
      <c r="F194" s="11">
        <v>78</v>
      </c>
      <c r="G194" s="11">
        <v>48</v>
      </c>
      <c r="H194" s="11">
        <v>46</v>
      </c>
      <c r="I194" s="9">
        <f t="shared" si="25"/>
        <v>358</v>
      </c>
      <c r="J194" s="17"/>
      <c r="K194" s="16"/>
      <c r="L194" s="15"/>
    </row>
    <row r="195" spans="1:12" x14ac:dyDescent="0.25">
      <c r="A195" s="10" t="s">
        <v>108</v>
      </c>
      <c r="B195" s="10" t="s">
        <v>128</v>
      </c>
      <c r="C195" s="10">
        <v>79</v>
      </c>
      <c r="D195" s="10">
        <v>32</v>
      </c>
      <c r="E195" s="10">
        <v>10</v>
      </c>
      <c r="F195" s="10">
        <v>45</v>
      </c>
      <c r="G195" s="10">
        <v>23</v>
      </c>
      <c r="H195" s="10">
        <v>83</v>
      </c>
      <c r="I195" s="9">
        <f t="shared" si="25"/>
        <v>272</v>
      </c>
      <c r="J195" s="17"/>
      <c r="K195" s="16"/>
      <c r="L195" s="15"/>
    </row>
    <row r="196" spans="1:12" x14ac:dyDescent="0.25">
      <c r="A196" s="11" t="s">
        <v>96</v>
      </c>
      <c r="B196" s="11" t="s">
        <v>130</v>
      </c>
      <c r="C196" s="11">
        <v>81</v>
      </c>
      <c r="D196" s="11">
        <v>59</v>
      </c>
      <c r="E196" s="11">
        <v>43</v>
      </c>
      <c r="F196" s="11">
        <v>40</v>
      </c>
      <c r="G196" s="11">
        <v>64</v>
      </c>
      <c r="H196" s="11">
        <v>72</v>
      </c>
      <c r="I196" s="9">
        <f t="shared" si="25"/>
        <v>359</v>
      </c>
      <c r="J196" s="17"/>
      <c r="K196" s="16"/>
      <c r="L196" s="15"/>
    </row>
    <row r="197" spans="1:12" x14ac:dyDescent="0.25">
      <c r="A197" s="10" t="s">
        <v>97</v>
      </c>
      <c r="B197" s="10" t="s">
        <v>133</v>
      </c>
      <c r="C197" s="10">
        <v>47</v>
      </c>
      <c r="D197" s="10">
        <v>83</v>
      </c>
      <c r="E197" s="10">
        <v>70</v>
      </c>
      <c r="F197" s="10">
        <v>93</v>
      </c>
      <c r="G197" s="10">
        <v>81</v>
      </c>
      <c r="H197" s="10">
        <v>55</v>
      </c>
      <c r="I197" s="9">
        <f t="shared" si="25"/>
        <v>429</v>
      </c>
      <c r="J197" s="17"/>
      <c r="K197" s="16"/>
      <c r="L197" s="15"/>
    </row>
    <row r="198" spans="1:12" x14ac:dyDescent="0.25">
      <c r="A198" s="11" t="s">
        <v>103</v>
      </c>
      <c r="B198" s="11" t="s">
        <v>133</v>
      </c>
      <c r="C198" s="11">
        <v>69</v>
      </c>
      <c r="D198" s="11">
        <v>34</v>
      </c>
      <c r="E198" s="11">
        <v>25</v>
      </c>
      <c r="F198" s="11">
        <v>20</v>
      </c>
      <c r="G198" s="11">
        <v>34</v>
      </c>
      <c r="H198" s="11">
        <v>65</v>
      </c>
      <c r="I198" s="9">
        <f t="shared" si="25"/>
        <v>247</v>
      </c>
      <c r="J198" s="17"/>
      <c r="K198" s="16"/>
      <c r="L198" s="15"/>
    </row>
    <row r="199" spans="1:12" x14ac:dyDescent="0.25">
      <c r="A199" s="10" t="s">
        <v>95</v>
      </c>
      <c r="B199" s="10" t="s">
        <v>124</v>
      </c>
      <c r="C199" s="10">
        <v>88</v>
      </c>
      <c r="D199" s="10">
        <v>42</v>
      </c>
      <c r="E199" s="10">
        <v>45</v>
      </c>
      <c r="F199" s="10">
        <v>32</v>
      </c>
      <c r="G199" s="10">
        <v>34</v>
      </c>
      <c r="H199" s="10">
        <v>56</v>
      </c>
      <c r="I199" s="9">
        <f t="shared" si="25"/>
        <v>297</v>
      </c>
      <c r="J199" s="17"/>
      <c r="K199" s="16"/>
      <c r="L199" s="15"/>
    </row>
    <row r="200" spans="1:12" x14ac:dyDescent="0.25">
      <c r="A200" s="11" t="s">
        <v>67</v>
      </c>
      <c r="B200" s="11" t="s">
        <v>127</v>
      </c>
      <c r="C200" s="11">
        <v>62</v>
      </c>
      <c r="D200" s="11">
        <v>75</v>
      </c>
      <c r="E200" s="11">
        <v>85</v>
      </c>
      <c r="F200" s="11">
        <v>96</v>
      </c>
      <c r="G200" s="11">
        <v>91</v>
      </c>
      <c r="H200" s="11">
        <v>92</v>
      </c>
      <c r="I200" s="9">
        <f t="shared" si="25"/>
        <v>501</v>
      </c>
      <c r="J200" s="17"/>
      <c r="K200" s="16"/>
      <c r="L200" s="15"/>
    </row>
    <row r="201" spans="1:12" x14ac:dyDescent="0.25">
      <c r="A201" s="10" t="s">
        <v>109</v>
      </c>
      <c r="B201" s="10" t="s">
        <v>129</v>
      </c>
      <c r="C201" s="10">
        <v>66</v>
      </c>
      <c r="D201" s="10">
        <v>68</v>
      </c>
      <c r="E201" s="10">
        <v>89</v>
      </c>
      <c r="F201" s="10">
        <v>86</v>
      </c>
      <c r="G201" s="10">
        <v>81</v>
      </c>
      <c r="H201" s="10">
        <v>63</v>
      </c>
      <c r="I201" s="9">
        <f t="shared" si="25"/>
        <v>453</v>
      </c>
      <c r="J201" s="17"/>
      <c r="K201" s="16"/>
      <c r="L201" s="15"/>
    </row>
    <row r="202" spans="1:12" x14ac:dyDescent="0.25">
      <c r="A202" s="11" t="s">
        <v>107</v>
      </c>
      <c r="B202" s="11" t="s">
        <v>132</v>
      </c>
      <c r="C202" s="11">
        <v>46</v>
      </c>
      <c r="D202" s="11">
        <v>29</v>
      </c>
      <c r="E202" s="11">
        <v>24</v>
      </c>
      <c r="F202" s="11">
        <v>58</v>
      </c>
      <c r="G202" s="11">
        <v>39</v>
      </c>
      <c r="H202" s="11">
        <v>59</v>
      </c>
      <c r="I202" s="9">
        <f t="shared" si="25"/>
        <v>255</v>
      </c>
      <c r="J202" s="17"/>
      <c r="K202" s="16"/>
      <c r="L202" s="15"/>
    </row>
    <row r="203" spans="1:12" x14ac:dyDescent="0.25">
      <c r="A203" s="10" t="s">
        <v>105</v>
      </c>
      <c r="B203" s="10" t="s">
        <v>131</v>
      </c>
      <c r="C203" s="10">
        <v>83</v>
      </c>
      <c r="D203" s="10">
        <v>94</v>
      </c>
      <c r="E203" s="10">
        <v>67</v>
      </c>
      <c r="F203" s="10">
        <v>36</v>
      </c>
      <c r="G203" s="10">
        <v>49</v>
      </c>
      <c r="H203" s="10">
        <v>69</v>
      </c>
      <c r="I203" s="9">
        <f t="shared" si="25"/>
        <v>398</v>
      </c>
      <c r="J203" s="17"/>
      <c r="K203" s="16"/>
      <c r="L203" s="15"/>
    </row>
    <row r="204" spans="1:12" x14ac:dyDescent="0.25">
      <c r="A204" s="11" t="s">
        <v>94</v>
      </c>
      <c r="B204" s="11" t="s">
        <v>128</v>
      </c>
      <c r="C204" s="11">
        <v>49</v>
      </c>
      <c r="D204" s="11">
        <v>72</v>
      </c>
      <c r="E204" s="11">
        <v>54</v>
      </c>
      <c r="F204" s="11">
        <v>32</v>
      </c>
      <c r="G204" s="11">
        <v>23</v>
      </c>
      <c r="H204" s="11">
        <v>23</v>
      </c>
      <c r="I204" s="9">
        <f t="shared" si="25"/>
        <v>253</v>
      </c>
      <c r="J204" s="17"/>
      <c r="K204" s="16"/>
      <c r="L204" s="15"/>
    </row>
    <row r="205" spans="1:12" x14ac:dyDescent="0.25">
      <c r="A205" s="10" t="s">
        <v>101</v>
      </c>
      <c r="B205" s="10" t="s">
        <v>130</v>
      </c>
      <c r="C205" s="10">
        <v>99</v>
      </c>
      <c r="D205" s="10">
        <v>57</v>
      </c>
      <c r="E205" s="10">
        <v>99</v>
      </c>
      <c r="F205" s="10">
        <v>48</v>
      </c>
      <c r="G205" s="10">
        <v>73</v>
      </c>
      <c r="H205" s="10">
        <v>99</v>
      </c>
      <c r="I205" s="9">
        <f t="shared" si="25"/>
        <v>475</v>
      </c>
      <c r="J205" s="17"/>
      <c r="K205" s="16"/>
      <c r="L205" s="15"/>
    </row>
    <row r="206" spans="1:12" x14ac:dyDescent="0.25">
      <c r="A206" s="11" t="s">
        <v>104</v>
      </c>
      <c r="B206" s="11" t="s">
        <v>129</v>
      </c>
      <c r="C206" s="11">
        <v>82</v>
      </c>
      <c r="D206" s="11">
        <v>55</v>
      </c>
      <c r="E206" s="11">
        <v>35</v>
      </c>
      <c r="F206" s="11">
        <v>76</v>
      </c>
      <c r="G206" s="11">
        <v>97</v>
      </c>
      <c r="H206" s="11">
        <v>37</v>
      </c>
      <c r="I206" s="9">
        <f t="shared" si="25"/>
        <v>382</v>
      </c>
      <c r="J206" s="17"/>
      <c r="K206" s="16"/>
      <c r="L206" s="15"/>
    </row>
    <row r="207" spans="1:12" x14ac:dyDescent="0.25">
      <c r="A207" s="10" t="s">
        <v>114</v>
      </c>
      <c r="B207" s="10" t="s">
        <v>128</v>
      </c>
      <c r="C207" s="10">
        <v>30</v>
      </c>
      <c r="D207" s="10">
        <v>65</v>
      </c>
      <c r="E207" s="10">
        <v>42</v>
      </c>
      <c r="F207" s="10">
        <v>65</v>
      </c>
      <c r="G207" s="10">
        <v>45</v>
      </c>
      <c r="H207" s="10">
        <v>50</v>
      </c>
      <c r="I207" s="9">
        <f t="shared" si="25"/>
        <v>297</v>
      </c>
      <c r="J207" s="14"/>
      <c r="K207" s="13"/>
      <c r="L207" s="12"/>
    </row>
    <row r="208" spans="1:12" x14ac:dyDescent="0.25">
      <c r="A208" s="11" t="s">
        <v>100</v>
      </c>
      <c r="B208" s="11" t="s">
        <v>127</v>
      </c>
      <c r="C208" s="11">
        <v>51</v>
      </c>
      <c r="D208" s="11">
        <v>51</v>
      </c>
      <c r="E208" s="11">
        <v>95</v>
      </c>
      <c r="F208" s="11">
        <v>56</v>
      </c>
      <c r="G208" s="11">
        <v>68</v>
      </c>
      <c r="H208" s="11">
        <v>89</v>
      </c>
      <c r="I208" s="9">
        <f t="shared" si="25"/>
        <v>410</v>
      </c>
    </row>
    <row r="209" spans="1:9" x14ac:dyDescent="0.25">
      <c r="A209" s="10" t="s">
        <v>112</v>
      </c>
      <c r="B209" s="10" t="s">
        <v>124</v>
      </c>
      <c r="C209" s="10">
        <v>60</v>
      </c>
      <c r="D209" s="10">
        <v>74</v>
      </c>
      <c r="E209" s="10">
        <v>87</v>
      </c>
      <c r="F209" s="10">
        <v>96</v>
      </c>
      <c r="G209" s="10">
        <v>91</v>
      </c>
      <c r="H209" s="10">
        <v>92</v>
      </c>
      <c r="I209" s="9">
        <f t="shared" si="25"/>
        <v>500</v>
      </c>
    </row>
    <row r="210" spans="1:9" x14ac:dyDescent="0.25">
      <c r="A210" t="s">
        <v>98</v>
      </c>
      <c r="B210" t="s">
        <v>124</v>
      </c>
      <c r="C210">
        <v>50</v>
      </c>
      <c r="D210">
        <v>45</v>
      </c>
      <c r="E210">
        <v>76</v>
      </c>
      <c r="F210">
        <v>67</v>
      </c>
      <c r="G210">
        <v>87</v>
      </c>
      <c r="H210">
        <v>89</v>
      </c>
      <c r="I210" s="9">
        <f t="shared" si="25"/>
        <v>414</v>
      </c>
    </row>
    <row r="211" spans="1:9" x14ac:dyDescent="0.25">
      <c r="A211" s="9" t="s">
        <v>99</v>
      </c>
      <c r="B211" t="s">
        <v>125</v>
      </c>
      <c r="C211" s="9">
        <v>45</v>
      </c>
      <c r="D211" s="9">
        <v>54</v>
      </c>
      <c r="E211" s="9">
        <v>54</v>
      </c>
      <c r="F211" s="9">
        <v>44</v>
      </c>
      <c r="G211" s="9">
        <v>65</v>
      </c>
      <c r="H211" s="9">
        <v>78</v>
      </c>
      <c r="I211" s="9">
        <f t="shared" si="25"/>
        <v>340</v>
      </c>
    </row>
    <row r="212" spans="1:9" x14ac:dyDescent="0.25">
      <c r="A212" t="s">
        <v>111</v>
      </c>
      <c r="B212" t="s">
        <v>126</v>
      </c>
      <c r="C212">
        <v>20</v>
      </c>
      <c r="D212">
        <v>56</v>
      </c>
      <c r="E212">
        <v>67</v>
      </c>
      <c r="F212">
        <v>89</v>
      </c>
      <c r="G212">
        <v>67</v>
      </c>
      <c r="H212">
        <v>87</v>
      </c>
      <c r="I212" s="9">
        <f t="shared" si="25"/>
        <v>386</v>
      </c>
    </row>
    <row r="213" spans="1:9" x14ac:dyDescent="0.25">
      <c r="A213" s="9" t="s">
        <v>102</v>
      </c>
      <c r="B213" t="s">
        <v>125</v>
      </c>
      <c r="C213" s="9">
        <v>20</v>
      </c>
      <c r="D213" s="9">
        <v>45</v>
      </c>
      <c r="E213" s="9">
        <v>65</v>
      </c>
      <c r="F213" s="9">
        <v>67</v>
      </c>
      <c r="G213" s="9">
        <v>56</v>
      </c>
      <c r="H213" s="9">
        <v>67</v>
      </c>
      <c r="I213" s="9">
        <f t="shared" si="25"/>
        <v>320</v>
      </c>
    </row>
    <row r="214" spans="1:9" x14ac:dyDescent="0.25">
      <c r="A214" s="10" t="s">
        <v>110</v>
      </c>
      <c r="B214" s="10" t="s">
        <v>124</v>
      </c>
      <c r="C214" s="10">
        <v>88</v>
      </c>
      <c r="D214" s="10">
        <v>42</v>
      </c>
      <c r="E214" s="10">
        <v>45</v>
      </c>
      <c r="F214" s="10">
        <v>32</v>
      </c>
      <c r="G214" s="10">
        <v>34</v>
      </c>
      <c r="H214" s="10">
        <v>56</v>
      </c>
      <c r="I214" s="9">
        <f t="shared" si="25"/>
        <v>297</v>
      </c>
    </row>
    <row r="215" spans="1:9" x14ac:dyDescent="0.25">
      <c r="A215" s="10" t="s">
        <v>110</v>
      </c>
      <c r="B215" s="10" t="s">
        <v>124</v>
      </c>
      <c r="C215" s="10">
        <v>88</v>
      </c>
      <c r="D215" s="10">
        <v>42</v>
      </c>
      <c r="E215" s="10">
        <v>45</v>
      </c>
      <c r="F215" s="10">
        <v>32</v>
      </c>
      <c r="G215" s="10">
        <v>34</v>
      </c>
      <c r="H215" s="10">
        <v>56</v>
      </c>
      <c r="I215" s="9">
        <f t="shared" si="25"/>
        <v>297</v>
      </c>
    </row>
    <row r="216" spans="1:9" x14ac:dyDescent="0.25">
      <c r="A216" s="10" t="s">
        <v>110</v>
      </c>
      <c r="B216" s="10" t="s">
        <v>350</v>
      </c>
      <c r="C216" s="10">
        <v>88</v>
      </c>
      <c r="D216" s="10">
        <v>42</v>
      </c>
      <c r="E216" s="10">
        <v>45</v>
      </c>
      <c r="F216" s="10">
        <v>32</v>
      </c>
      <c r="G216" s="10">
        <v>34</v>
      </c>
      <c r="H216" s="10">
        <v>56</v>
      </c>
      <c r="I216" s="9">
        <f t="shared" si="25"/>
        <v>297</v>
      </c>
    </row>
    <row r="217" spans="1:9" x14ac:dyDescent="0.25">
      <c r="A217" s="8" t="s">
        <v>123</v>
      </c>
      <c r="B217" t="s">
        <v>122</v>
      </c>
      <c r="C217" t="s">
        <v>121</v>
      </c>
      <c r="D217" t="s">
        <v>120</v>
      </c>
      <c r="E217" t="s">
        <v>119</v>
      </c>
      <c r="F217" t="s">
        <v>118</v>
      </c>
      <c r="G217" t="s">
        <v>117</v>
      </c>
      <c r="H217" t="s">
        <v>116</v>
      </c>
    </row>
    <row r="218" spans="1:9" x14ac:dyDescent="0.25">
      <c r="A218" s="7" t="s">
        <v>67</v>
      </c>
      <c r="B218">
        <v>62</v>
      </c>
      <c r="C218">
        <v>75</v>
      </c>
      <c r="D218">
        <v>85</v>
      </c>
      <c r="E218">
        <v>96</v>
      </c>
      <c r="F218">
        <v>91</v>
      </c>
      <c r="G218">
        <v>92</v>
      </c>
      <c r="H218">
        <v>501</v>
      </c>
    </row>
    <row r="219" spans="1:9" x14ac:dyDescent="0.25">
      <c r="A219" s="7" t="s">
        <v>115</v>
      </c>
      <c r="B219">
        <v>70</v>
      </c>
      <c r="C219">
        <v>54</v>
      </c>
      <c r="D219">
        <v>62</v>
      </c>
      <c r="E219">
        <v>78</v>
      </c>
      <c r="F219">
        <v>48</v>
      </c>
      <c r="G219">
        <v>46</v>
      </c>
      <c r="H219">
        <v>358</v>
      </c>
    </row>
    <row r="220" spans="1:9" x14ac:dyDescent="0.25">
      <c r="A220" s="7" t="s">
        <v>114</v>
      </c>
      <c r="B220">
        <v>30</v>
      </c>
      <c r="C220">
        <v>65</v>
      </c>
      <c r="D220">
        <v>42</v>
      </c>
      <c r="E220">
        <v>65</v>
      </c>
      <c r="F220">
        <v>45</v>
      </c>
      <c r="G220">
        <v>50</v>
      </c>
      <c r="H220">
        <v>297</v>
      </c>
    </row>
    <row r="221" spans="1:9" x14ac:dyDescent="0.25">
      <c r="A221" s="7" t="s">
        <v>113</v>
      </c>
      <c r="B221">
        <v>38</v>
      </c>
      <c r="C221">
        <v>46</v>
      </c>
      <c r="D221">
        <v>62</v>
      </c>
      <c r="E221">
        <v>64</v>
      </c>
      <c r="F221">
        <v>99</v>
      </c>
      <c r="G221">
        <v>38</v>
      </c>
      <c r="H221">
        <v>347</v>
      </c>
    </row>
    <row r="222" spans="1:9" x14ac:dyDescent="0.25">
      <c r="A222" s="7" t="s">
        <v>112</v>
      </c>
      <c r="B222">
        <v>60</v>
      </c>
      <c r="C222">
        <v>74</v>
      </c>
      <c r="D222">
        <v>87</v>
      </c>
      <c r="E222">
        <v>96</v>
      </c>
      <c r="F222">
        <v>91</v>
      </c>
      <c r="G222">
        <v>92</v>
      </c>
      <c r="H222">
        <v>500</v>
      </c>
    </row>
    <row r="223" spans="1:9" x14ac:dyDescent="0.25">
      <c r="A223" s="7" t="s">
        <v>111</v>
      </c>
      <c r="B223">
        <v>20</v>
      </c>
      <c r="C223">
        <v>56</v>
      </c>
      <c r="D223">
        <v>67</v>
      </c>
      <c r="E223">
        <v>89</v>
      </c>
      <c r="F223">
        <v>67</v>
      </c>
      <c r="G223">
        <v>87</v>
      </c>
      <c r="H223">
        <v>386</v>
      </c>
    </row>
    <row r="224" spans="1:9" x14ac:dyDescent="0.25">
      <c r="A224" s="7" t="s">
        <v>110</v>
      </c>
      <c r="B224">
        <v>352</v>
      </c>
      <c r="C224">
        <v>168</v>
      </c>
      <c r="D224">
        <v>180</v>
      </c>
      <c r="E224">
        <v>128</v>
      </c>
      <c r="F224">
        <v>136</v>
      </c>
      <c r="G224">
        <v>224</v>
      </c>
      <c r="H224">
        <v>297</v>
      </c>
    </row>
    <row r="225" spans="1:8" x14ac:dyDescent="0.25">
      <c r="A225" s="7" t="s">
        <v>109</v>
      </c>
      <c r="B225">
        <v>66</v>
      </c>
      <c r="C225">
        <v>68</v>
      </c>
      <c r="D225">
        <v>89</v>
      </c>
      <c r="E225">
        <v>86</v>
      </c>
      <c r="F225">
        <v>81</v>
      </c>
      <c r="G225">
        <v>63</v>
      </c>
      <c r="H225">
        <v>453</v>
      </c>
    </row>
    <row r="226" spans="1:8" x14ac:dyDescent="0.25">
      <c r="A226" s="7" t="s">
        <v>108</v>
      </c>
      <c r="B226">
        <v>79</v>
      </c>
      <c r="C226">
        <v>32</v>
      </c>
      <c r="D226">
        <v>10</v>
      </c>
      <c r="E226">
        <v>45</v>
      </c>
      <c r="F226">
        <v>23</v>
      </c>
      <c r="G226">
        <v>83</v>
      </c>
      <c r="H226">
        <v>272</v>
      </c>
    </row>
    <row r="227" spans="1:8" x14ac:dyDescent="0.25">
      <c r="A227" s="7" t="s">
        <v>107</v>
      </c>
      <c r="B227">
        <v>46</v>
      </c>
      <c r="C227">
        <v>29</v>
      </c>
      <c r="D227">
        <v>24</v>
      </c>
      <c r="E227">
        <v>58</v>
      </c>
      <c r="F227">
        <v>39</v>
      </c>
      <c r="G227">
        <v>59</v>
      </c>
      <c r="H227">
        <v>255</v>
      </c>
    </row>
    <row r="228" spans="1:8" x14ac:dyDescent="0.25">
      <c r="A228" s="7" t="s">
        <v>106</v>
      </c>
      <c r="B228">
        <v>50</v>
      </c>
      <c r="C228">
        <v>60</v>
      </c>
      <c r="D228">
        <v>35</v>
      </c>
      <c r="E228">
        <v>54</v>
      </c>
      <c r="F228">
        <v>86</v>
      </c>
      <c r="G228">
        <v>38</v>
      </c>
      <c r="H228">
        <v>323</v>
      </c>
    </row>
    <row r="229" spans="1:8" x14ac:dyDescent="0.25">
      <c r="A229" s="7" t="s">
        <v>105</v>
      </c>
      <c r="B229">
        <v>83</v>
      </c>
      <c r="C229">
        <v>94</v>
      </c>
      <c r="D229">
        <v>67</v>
      </c>
      <c r="E229">
        <v>36</v>
      </c>
      <c r="F229">
        <v>49</v>
      </c>
      <c r="G229">
        <v>69</v>
      </c>
      <c r="H229">
        <v>398</v>
      </c>
    </row>
    <row r="230" spans="1:8" x14ac:dyDescent="0.25">
      <c r="A230" s="7" t="s">
        <v>104</v>
      </c>
      <c r="B230">
        <v>82</v>
      </c>
      <c r="C230">
        <v>55</v>
      </c>
      <c r="D230">
        <v>35</v>
      </c>
      <c r="E230">
        <v>76</v>
      </c>
      <c r="F230">
        <v>97</v>
      </c>
      <c r="G230">
        <v>37</v>
      </c>
      <c r="H230">
        <v>382</v>
      </c>
    </row>
    <row r="231" spans="1:8" x14ac:dyDescent="0.25">
      <c r="A231" s="7" t="s">
        <v>103</v>
      </c>
      <c r="B231">
        <v>69</v>
      </c>
      <c r="C231">
        <v>34</v>
      </c>
      <c r="D231">
        <v>25</v>
      </c>
      <c r="E231">
        <v>20</v>
      </c>
      <c r="F231">
        <v>34</v>
      </c>
      <c r="G231">
        <v>65</v>
      </c>
      <c r="H231">
        <v>247</v>
      </c>
    </row>
    <row r="232" spans="1:8" x14ac:dyDescent="0.25">
      <c r="A232" s="7" t="s">
        <v>102</v>
      </c>
      <c r="B232">
        <v>20</v>
      </c>
      <c r="C232">
        <v>45</v>
      </c>
      <c r="D232">
        <v>65</v>
      </c>
      <c r="E232">
        <v>67</v>
      </c>
      <c r="F232">
        <v>56</v>
      </c>
      <c r="G232">
        <v>67</v>
      </c>
      <c r="H232">
        <v>320</v>
      </c>
    </row>
    <row r="233" spans="1:8" x14ac:dyDescent="0.25">
      <c r="A233" s="7" t="s">
        <v>101</v>
      </c>
      <c r="B233">
        <v>99</v>
      </c>
      <c r="C233">
        <v>57</v>
      </c>
      <c r="D233">
        <v>99</v>
      </c>
      <c r="E233">
        <v>48</v>
      </c>
      <c r="F233">
        <v>73</v>
      </c>
      <c r="G233">
        <v>99</v>
      </c>
      <c r="H233">
        <v>475</v>
      </c>
    </row>
    <row r="234" spans="1:8" x14ac:dyDescent="0.25">
      <c r="A234" s="7" t="s">
        <v>100</v>
      </c>
      <c r="B234">
        <v>51</v>
      </c>
      <c r="C234">
        <v>51</v>
      </c>
      <c r="D234">
        <v>95</v>
      </c>
      <c r="E234">
        <v>56</v>
      </c>
      <c r="F234">
        <v>68</v>
      </c>
      <c r="G234">
        <v>89</v>
      </c>
      <c r="H234">
        <v>410</v>
      </c>
    </row>
    <row r="235" spans="1:8" x14ac:dyDescent="0.25">
      <c r="A235" s="7" t="s">
        <v>99</v>
      </c>
      <c r="B235">
        <v>45</v>
      </c>
      <c r="C235">
        <v>54</v>
      </c>
      <c r="D235">
        <v>54</v>
      </c>
      <c r="E235">
        <v>44</v>
      </c>
      <c r="F235">
        <v>65</v>
      </c>
      <c r="G235">
        <v>78</v>
      </c>
      <c r="H235">
        <v>340</v>
      </c>
    </row>
    <row r="236" spans="1:8" x14ac:dyDescent="0.25">
      <c r="A236" s="7" t="s">
        <v>98</v>
      </c>
      <c r="B236">
        <v>50</v>
      </c>
      <c r="C236">
        <v>45</v>
      </c>
      <c r="D236">
        <v>76</v>
      </c>
      <c r="E236">
        <v>67</v>
      </c>
      <c r="F236">
        <v>87</v>
      </c>
      <c r="G236">
        <v>89</v>
      </c>
      <c r="H236">
        <v>414</v>
      </c>
    </row>
    <row r="237" spans="1:8" x14ac:dyDescent="0.25">
      <c r="A237" s="7" t="s">
        <v>97</v>
      </c>
      <c r="B237">
        <v>47</v>
      </c>
      <c r="C237">
        <v>83</v>
      </c>
      <c r="D237">
        <v>70</v>
      </c>
      <c r="E237">
        <v>93</v>
      </c>
      <c r="F237">
        <v>81</v>
      </c>
      <c r="G237">
        <v>55</v>
      </c>
      <c r="H237">
        <v>429</v>
      </c>
    </row>
    <row r="238" spans="1:8" x14ac:dyDescent="0.25">
      <c r="A238" s="7" t="s">
        <v>96</v>
      </c>
      <c r="B238">
        <v>81</v>
      </c>
      <c r="C238">
        <v>59</v>
      </c>
      <c r="D238">
        <v>43</v>
      </c>
      <c r="E238">
        <v>40</v>
      </c>
      <c r="F238">
        <v>64</v>
      </c>
      <c r="G238">
        <v>72</v>
      </c>
      <c r="H238">
        <v>359</v>
      </c>
    </row>
    <row r="239" spans="1:8" x14ac:dyDescent="0.25">
      <c r="A239" s="7" t="s">
        <v>95</v>
      </c>
      <c r="B239">
        <v>88</v>
      </c>
      <c r="C239">
        <v>42</v>
      </c>
      <c r="D239">
        <v>45</v>
      </c>
      <c r="E239">
        <v>32</v>
      </c>
      <c r="F239">
        <v>34</v>
      </c>
      <c r="G239">
        <v>56</v>
      </c>
      <c r="H239">
        <v>297</v>
      </c>
    </row>
    <row r="240" spans="1:8" x14ac:dyDescent="0.25">
      <c r="A240" s="7" t="s">
        <v>94</v>
      </c>
      <c r="B240">
        <v>49</v>
      </c>
      <c r="C240">
        <v>72</v>
      </c>
      <c r="D240">
        <v>54</v>
      </c>
      <c r="E240">
        <v>32</v>
      </c>
      <c r="F240">
        <v>23</v>
      </c>
      <c r="G240">
        <v>23</v>
      </c>
      <c r="H240">
        <v>253</v>
      </c>
    </row>
    <row r="241" spans="1:8" x14ac:dyDescent="0.25">
      <c r="A241" s="7" t="s">
        <v>93</v>
      </c>
      <c r="B241">
        <v>1637</v>
      </c>
      <c r="C241">
        <v>1418</v>
      </c>
      <c r="D241">
        <v>1471</v>
      </c>
      <c r="E241">
        <v>1470</v>
      </c>
      <c r="F241">
        <v>1537</v>
      </c>
      <c r="G241">
        <v>1671</v>
      </c>
      <c r="H241">
        <v>501</v>
      </c>
    </row>
    <row r="245" spans="1:8" x14ac:dyDescent="0.25">
      <c r="A245" s="6" t="s">
        <v>92</v>
      </c>
      <c r="B245" s="6" t="s">
        <v>84</v>
      </c>
      <c r="C245" s="6" t="s">
        <v>91</v>
      </c>
      <c r="D245" s="6" t="s">
        <v>90</v>
      </c>
    </row>
    <row r="246" spans="1:8" x14ac:dyDescent="0.25">
      <c r="A246" s="5">
        <v>101</v>
      </c>
      <c r="B246" s="5" t="s">
        <v>88</v>
      </c>
      <c r="C246" s="5" t="s">
        <v>87</v>
      </c>
      <c r="D246" s="5">
        <v>92</v>
      </c>
      <c r="F246" t="s">
        <v>561</v>
      </c>
      <c r="G246" t="e">
        <f>VLOOKUP(F246,A245:D249,4,TRUE)</f>
        <v>#N/A</v>
      </c>
    </row>
    <row r="247" spans="1:8" x14ac:dyDescent="0.25">
      <c r="A247" s="5">
        <v>103</v>
      </c>
      <c r="B247" s="5" t="s">
        <v>74</v>
      </c>
      <c r="C247" s="5" t="s">
        <v>85</v>
      </c>
      <c r="D247" s="5">
        <v>88</v>
      </c>
    </row>
    <row r="248" spans="1:8" x14ac:dyDescent="0.25">
      <c r="A248" s="5">
        <v>105</v>
      </c>
      <c r="B248" s="5" t="s">
        <v>89</v>
      </c>
      <c r="C248" s="5" t="s">
        <v>86</v>
      </c>
      <c r="D248" s="5">
        <v>78</v>
      </c>
    </row>
    <row r="249" spans="1:8" x14ac:dyDescent="0.25">
      <c r="A249" s="5">
        <v>110</v>
      </c>
      <c r="B249" s="5" t="s">
        <v>75</v>
      </c>
      <c r="C249" s="5" t="s">
        <v>86</v>
      </c>
      <c r="D249" s="5">
        <v>65</v>
      </c>
    </row>
    <row r="252" spans="1:8" x14ac:dyDescent="0.25">
      <c r="A252" t="s">
        <v>84</v>
      </c>
      <c r="B252" t="s">
        <v>83</v>
      </c>
      <c r="C252" t="s">
        <v>82</v>
      </c>
      <c r="D252" t="s">
        <v>81</v>
      </c>
      <c r="E252" t="s">
        <v>80</v>
      </c>
      <c r="F252" t="s">
        <v>79</v>
      </c>
      <c r="G252" t="s">
        <v>78</v>
      </c>
    </row>
    <row r="253" spans="1:8" x14ac:dyDescent="0.25">
      <c r="A253" t="s">
        <v>77</v>
      </c>
      <c r="B253">
        <v>7.2</v>
      </c>
      <c r="C253">
        <v>7.5</v>
      </c>
      <c r="D253">
        <v>7.8</v>
      </c>
      <c r="E253">
        <v>8</v>
      </c>
      <c r="F253">
        <f>AVERAGE(Table10[[#This Row],[Sem 1 CGPA]],Table10[[#This Row],[Sem 2 CGPA]],Table10[[#This Row],[Sem 3 CGPA]],Table10[[#This Row],[Sem 4 CGPA]],)</f>
        <v>6.1</v>
      </c>
      <c r="G253" t="str">
        <f t="shared" ref="G253:G272" si="26">_xlfn.IFS(F253&gt;3,"NOT GOOD",F253&gt;7.5,"AVERAGE",F253&gt;8.5,"GOOD",F253&gt;9.5,"EXCELLENT")</f>
        <v>NOT GOOD</v>
      </c>
    </row>
    <row r="254" spans="1:8" x14ac:dyDescent="0.25">
      <c r="A254" t="s">
        <v>76</v>
      </c>
      <c r="B254">
        <v>5.8</v>
      </c>
      <c r="C254">
        <v>6</v>
      </c>
      <c r="D254">
        <v>6.2</v>
      </c>
      <c r="E254">
        <v>6.1</v>
      </c>
      <c r="F254">
        <f>AVERAGE(Table10[[#This Row],[Sem 1 CGPA]],Table10[[#This Row],[Sem 2 CGPA]],Table10[[#This Row],[Sem 3 CGPA]],Table10[[#This Row],[Sem 4 CGPA]],)</f>
        <v>4.82</v>
      </c>
      <c r="G254" t="str">
        <f t="shared" si="26"/>
        <v>NOT GOOD</v>
      </c>
    </row>
    <row r="255" spans="1:8" x14ac:dyDescent="0.25">
      <c r="A255" t="s">
        <v>75</v>
      </c>
      <c r="B255">
        <v>8.5</v>
      </c>
      <c r="C255">
        <v>8.6999999999999993</v>
      </c>
      <c r="D255">
        <v>8.9</v>
      </c>
      <c r="E255">
        <v>9.1</v>
      </c>
      <c r="F255">
        <f>AVERAGE(Table10[[#This Row],[Sem 1 CGPA]],Table10[[#This Row],[Sem 2 CGPA]],Table10[[#This Row],[Sem 3 CGPA]],Table10[[#This Row],[Sem 4 CGPA]],)</f>
        <v>7.0400000000000009</v>
      </c>
      <c r="G255" t="str">
        <f t="shared" si="26"/>
        <v>NOT GOOD</v>
      </c>
    </row>
    <row r="256" spans="1:8" x14ac:dyDescent="0.25">
      <c r="A256" t="s">
        <v>74</v>
      </c>
      <c r="B256">
        <v>4.5</v>
      </c>
      <c r="C256">
        <v>4.8</v>
      </c>
      <c r="D256">
        <v>5</v>
      </c>
      <c r="E256">
        <v>5.2</v>
      </c>
      <c r="F256">
        <f>AVERAGE(Table10[[#This Row],[Sem 1 CGPA]],Table10[[#This Row],[Sem 2 CGPA]],Table10[[#This Row],[Sem 3 CGPA]],Table10[[#This Row],[Sem 4 CGPA]],)</f>
        <v>3.9</v>
      </c>
      <c r="G256" t="str">
        <f t="shared" si="26"/>
        <v>NOT GOOD</v>
      </c>
    </row>
    <row r="257" spans="1:7" x14ac:dyDescent="0.25">
      <c r="A257" t="s">
        <v>73</v>
      </c>
      <c r="B257">
        <v>6.9</v>
      </c>
      <c r="C257">
        <v>7.1</v>
      </c>
      <c r="D257">
        <v>7</v>
      </c>
      <c r="E257">
        <v>7.3</v>
      </c>
      <c r="F257">
        <f>AVERAGE(Table10[[#This Row],[Sem 1 CGPA]],Table10[[#This Row],[Sem 2 CGPA]],Table10[[#This Row],[Sem 3 CGPA]],Table10[[#This Row],[Sem 4 CGPA]],)</f>
        <v>5.66</v>
      </c>
      <c r="G257" t="str">
        <f t="shared" si="26"/>
        <v>NOT GOOD</v>
      </c>
    </row>
    <row r="258" spans="1:7" x14ac:dyDescent="0.25">
      <c r="A258" t="s">
        <v>72</v>
      </c>
      <c r="B258">
        <v>9</v>
      </c>
      <c r="C258">
        <v>8.8000000000000007</v>
      </c>
      <c r="D258">
        <v>9.1</v>
      </c>
      <c r="E258">
        <v>9.3000000000000007</v>
      </c>
      <c r="F258">
        <f>AVERAGE(Table10[[#This Row],[Sem 1 CGPA]],Table10[[#This Row],[Sem 2 CGPA]],Table10[[#This Row],[Sem 3 CGPA]],Table10[[#This Row],[Sem 4 CGPA]],)</f>
        <v>7.24</v>
      </c>
      <c r="G258" t="str">
        <f t="shared" si="26"/>
        <v>NOT GOOD</v>
      </c>
    </row>
    <row r="259" spans="1:7" x14ac:dyDescent="0.25">
      <c r="A259" t="s">
        <v>71</v>
      </c>
      <c r="B259">
        <v>5</v>
      </c>
      <c r="C259">
        <v>5.5</v>
      </c>
      <c r="D259">
        <v>5.8</v>
      </c>
      <c r="E259">
        <v>6</v>
      </c>
      <c r="F259">
        <f>AVERAGE(Table10[[#This Row],[Sem 1 CGPA]],Table10[[#This Row],[Sem 2 CGPA]],Table10[[#This Row],[Sem 3 CGPA]],Table10[[#This Row],[Sem 4 CGPA]],)</f>
        <v>4.46</v>
      </c>
      <c r="G259" t="str">
        <f t="shared" si="26"/>
        <v>NOT GOOD</v>
      </c>
    </row>
    <row r="260" spans="1:7" x14ac:dyDescent="0.25">
      <c r="A260" t="s">
        <v>70</v>
      </c>
      <c r="B260">
        <v>7.8</v>
      </c>
      <c r="C260">
        <v>8</v>
      </c>
      <c r="D260">
        <v>8.1999999999999993</v>
      </c>
      <c r="E260">
        <v>8.4</v>
      </c>
      <c r="F260">
        <f>AVERAGE(Table10[[#This Row],[Sem 1 CGPA]],Table10[[#This Row],[Sem 2 CGPA]],Table10[[#This Row],[Sem 3 CGPA]],Table10[[#This Row],[Sem 4 CGPA]],)</f>
        <v>6.4799999999999995</v>
      </c>
      <c r="G260" t="str">
        <f t="shared" si="26"/>
        <v>NOT GOOD</v>
      </c>
    </row>
    <row r="261" spans="1:7" x14ac:dyDescent="0.25">
      <c r="A261" t="s">
        <v>69</v>
      </c>
      <c r="B261">
        <v>3.9</v>
      </c>
      <c r="C261">
        <v>4.2</v>
      </c>
      <c r="D261">
        <v>4.5</v>
      </c>
      <c r="E261">
        <v>4.8</v>
      </c>
      <c r="F261">
        <f>AVERAGE(Table10[[#This Row],[Sem 1 CGPA]],Table10[[#This Row],[Sem 2 CGPA]],Table10[[#This Row],[Sem 3 CGPA]],Table10[[#This Row],[Sem 4 CGPA]],)</f>
        <v>3.4799999999999995</v>
      </c>
      <c r="G261" t="str">
        <f t="shared" si="26"/>
        <v>NOT GOOD</v>
      </c>
    </row>
    <row r="262" spans="1:7" x14ac:dyDescent="0.25">
      <c r="A262" t="s">
        <v>68</v>
      </c>
      <c r="B262">
        <v>6.2</v>
      </c>
      <c r="C262">
        <v>6.5</v>
      </c>
      <c r="D262">
        <v>6.8</v>
      </c>
      <c r="E262">
        <v>7</v>
      </c>
      <c r="F262">
        <f>AVERAGE(Table10[[#This Row],[Sem 1 CGPA]],Table10[[#This Row],[Sem 2 CGPA]],Table10[[#This Row],[Sem 3 CGPA]],Table10[[#This Row],[Sem 4 CGPA]],)</f>
        <v>5.3</v>
      </c>
      <c r="G262" t="str">
        <f t="shared" si="26"/>
        <v>NOT GOOD</v>
      </c>
    </row>
    <row r="263" spans="1:7" x14ac:dyDescent="0.25">
      <c r="A263" t="s">
        <v>67</v>
      </c>
      <c r="B263">
        <v>8.8000000000000007</v>
      </c>
      <c r="C263">
        <v>9</v>
      </c>
      <c r="D263">
        <v>9.1999999999999993</v>
      </c>
      <c r="E263">
        <v>9.4</v>
      </c>
      <c r="F263">
        <f>AVERAGE(Table10[[#This Row],[Sem 1 CGPA]],Table10[[#This Row],[Sem 2 CGPA]],Table10[[#This Row],[Sem 3 CGPA]],Table10[[#This Row],[Sem 4 CGPA]],)</f>
        <v>7.2799999999999994</v>
      </c>
      <c r="G263" t="str">
        <f t="shared" si="26"/>
        <v>NOT GOOD</v>
      </c>
    </row>
    <row r="264" spans="1:7" x14ac:dyDescent="0.25">
      <c r="A264" t="s">
        <v>66</v>
      </c>
      <c r="B264">
        <v>5.5</v>
      </c>
      <c r="C264">
        <v>5.7</v>
      </c>
      <c r="D264">
        <v>6</v>
      </c>
      <c r="E264">
        <v>6.2</v>
      </c>
      <c r="F264">
        <f>AVERAGE(Table10[[#This Row],[Sem 1 CGPA]],Table10[[#This Row],[Sem 2 CGPA]],Table10[[#This Row],[Sem 3 CGPA]],Table10[[#This Row],[Sem 4 CGPA]],)</f>
        <v>4.68</v>
      </c>
      <c r="G264" t="str">
        <f t="shared" si="26"/>
        <v>NOT GOOD</v>
      </c>
    </row>
    <row r="265" spans="1:7" x14ac:dyDescent="0.25">
      <c r="A265" t="s">
        <v>65</v>
      </c>
      <c r="B265">
        <v>7</v>
      </c>
      <c r="C265">
        <v>7.3</v>
      </c>
      <c r="D265">
        <v>7.5</v>
      </c>
      <c r="E265">
        <v>7.8</v>
      </c>
      <c r="F265">
        <f>AVERAGE(Table10[[#This Row],[Sem 1 CGPA]],Table10[[#This Row],[Sem 2 CGPA]],Table10[[#This Row],[Sem 3 CGPA]],Table10[[#This Row],[Sem 4 CGPA]],)</f>
        <v>5.92</v>
      </c>
      <c r="G265" t="str">
        <f t="shared" si="26"/>
        <v>NOT GOOD</v>
      </c>
    </row>
    <row r="266" spans="1:7" x14ac:dyDescent="0.25">
      <c r="A266" t="s">
        <v>64</v>
      </c>
      <c r="B266">
        <v>4.2</v>
      </c>
      <c r="C266">
        <v>4.5</v>
      </c>
      <c r="D266">
        <v>4.8</v>
      </c>
      <c r="E266">
        <v>5</v>
      </c>
      <c r="F266">
        <f>AVERAGE(Table10[[#This Row],[Sem 1 CGPA]],Table10[[#This Row],[Sem 2 CGPA]],Table10[[#This Row],[Sem 3 CGPA]],Table10[[#This Row],[Sem 4 CGPA]],)</f>
        <v>3.7</v>
      </c>
      <c r="G266" t="str">
        <f t="shared" si="26"/>
        <v>NOT GOOD</v>
      </c>
    </row>
    <row r="267" spans="1:7" x14ac:dyDescent="0.25">
      <c r="A267" t="s">
        <v>63</v>
      </c>
      <c r="B267">
        <v>8.1999999999999993</v>
      </c>
      <c r="C267">
        <v>8.4</v>
      </c>
      <c r="D267">
        <v>8.6</v>
      </c>
      <c r="E267">
        <v>8.9</v>
      </c>
      <c r="F267">
        <f>AVERAGE(Table10[[#This Row],[Sem 1 CGPA]],Table10[[#This Row],[Sem 2 CGPA]],Table10[[#This Row],[Sem 3 CGPA]],Table10[[#This Row],[Sem 4 CGPA]],)</f>
        <v>6.82</v>
      </c>
      <c r="G267" t="str">
        <f t="shared" si="26"/>
        <v>NOT GOOD</v>
      </c>
    </row>
    <row r="268" spans="1:7" x14ac:dyDescent="0.25">
      <c r="A268" t="s">
        <v>62</v>
      </c>
      <c r="B268">
        <v>9.5</v>
      </c>
      <c r="C268">
        <v>9.5</v>
      </c>
      <c r="D268">
        <v>9.5</v>
      </c>
      <c r="E268">
        <v>9.5</v>
      </c>
      <c r="F268">
        <f>AVERAGE(Table10[[#This Row],[Sem 1 CGPA]],Table10[[#This Row],[Sem 2 CGPA]],Table10[[#This Row],[Sem 3 CGPA]],Table10[[#This Row],[Sem 4 CGPA]],)</f>
        <v>7.6</v>
      </c>
      <c r="G268" t="str">
        <f t="shared" si="26"/>
        <v>NOT GOOD</v>
      </c>
    </row>
    <row r="269" spans="1:7" x14ac:dyDescent="0.25">
      <c r="A269" t="s">
        <v>61</v>
      </c>
      <c r="B269">
        <v>9.1</v>
      </c>
      <c r="C269">
        <v>9.1999999999999993</v>
      </c>
      <c r="D269">
        <v>9.4</v>
      </c>
      <c r="E269">
        <v>9.5</v>
      </c>
      <c r="F269">
        <f>AVERAGE(Table10[[#This Row],[Sem 1 CGPA]],Table10[[#This Row],[Sem 2 CGPA]],Table10[[#This Row],[Sem 3 CGPA]],Table10[[#This Row],[Sem 4 CGPA]],)</f>
        <v>7.4399999999999995</v>
      </c>
      <c r="G269" t="str">
        <f t="shared" si="26"/>
        <v>NOT GOOD</v>
      </c>
    </row>
    <row r="270" spans="1:7" x14ac:dyDescent="0.25">
      <c r="A270" t="s">
        <v>60</v>
      </c>
      <c r="B270">
        <v>5.2</v>
      </c>
      <c r="C270">
        <v>5.4</v>
      </c>
      <c r="D270">
        <v>5.6</v>
      </c>
      <c r="E270">
        <v>5.9</v>
      </c>
      <c r="F270">
        <f>AVERAGE(Table10[[#This Row],[Sem 1 CGPA]],Table10[[#This Row],[Sem 2 CGPA]],Table10[[#This Row],[Sem 3 CGPA]],Table10[[#This Row],[Sem 4 CGPA]],)</f>
        <v>4.42</v>
      </c>
      <c r="G270" t="str">
        <f t="shared" si="26"/>
        <v>NOT GOOD</v>
      </c>
    </row>
    <row r="271" spans="1:7" x14ac:dyDescent="0.25">
      <c r="A271" t="s">
        <v>59</v>
      </c>
      <c r="B271">
        <v>7.4</v>
      </c>
      <c r="C271">
        <v>7.6</v>
      </c>
      <c r="D271">
        <v>7.9</v>
      </c>
      <c r="E271">
        <v>9.5</v>
      </c>
      <c r="F271">
        <f>AVERAGE(Table10[[#This Row],[Sem 1 CGPA]],Table10[[#This Row],[Sem 2 CGPA]],Table10[[#This Row],[Sem 3 CGPA]],Table10[[#This Row],[Sem 4 CGPA]],)</f>
        <v>6.4799999999999995</v>
      </c>
      <c r="G271" t="str">
        <f t="shared" si="26"/>
        <v>NOT GOOD</v>
      </c>
    </row>
    <row r="272" spans="1:7" x14ac:dyDescent="0.25">
      <c r="A272" t="s">
        <v>58</v>
      </c>
      <c r="B272">
        <v>4.8</v>
      </c>
      <c r="C272">
        <v>5</v>
      </c>
      <c r="D272">
        <v>5.3</v>
      </c>
      <c r="E272">
        <v>5.5</v>
      </c>
      <c r="F272">
        <f>AVERAGE(Table10[[#This Row],[Sem 1 CGPA]],Table10[[#This Row],[Sem 2 CGPA]],Table10[[#This Row],[Sem 3 CGPA]],Table10[[#This Row],[Sem 4 CGPA]],)</f>
        <v>4.12</v>
      </c>
      <c r="G272" t="str">
        <f t="shared" si="26"/>
        <v>NOT GOOD</v>
      </c>
    </row>
    <row r="274" spans="1:5" ht="18.75" x14ac:dyDescent="0.25">
      <c r="C274" s="48" t="s">
        <v>559</v>
      </c>
    </row>
    <row r="275" spans="1:5" ht="18.75" x14ac:dyDescent="0.3">
      <c r="C275" s="33" t="s">
        <v>560</v>
      </c>
    </row>
    <row r="276" spans="1:5" x14ac:dyDescent="0.25">
      <c r="C276" s="6" t="s">
        <v>558</v>
      </c>
    </row>
    <row r="277" spans="1:5" x14ac:dyDescent="0.25">
      <c r="C277" s="5" t="s">
        <v>124</v>
      </c>
    </row>
    <row r="278" spans="1:5" x14ac:dyDescent="0.25">
      <c r="C278" s="5" t="s">
        <v>124</v>
      </c>
    </row>
    <row r="279" spans="1:5" x14ac:dyDescent="0.25">
      <c r="C279" s="5" t="s">
        <v>131</v>
      </c>
    </row>
    <row r="280" spans="1:5" x14ac:dyDescent="0.25">
      <c r="C280" s="5" t="s">
        <v>132</v>
      </c>
    </row>
    <row r="283" spans="1:5" x14ac:dyDescent="0.25">
      <c r="A283" t="s">
        <v>563</v>
      </c>
      <c r="B283" t="s">
        <v>564</v>
      </c>
      <c r="C283" s="5" t="s">
        <v>565</v>
      </c>
      <c r="D283" t="s">
        <v>140</v>
      </c>
      <c r="E283" t="s">
        <v>566</v>
      </c>
    </row>
    <row r="284" spans="1:5" x14ac:dyDescent="0.25">
      <c r="A284">
        <v>2024001</v>
      </c>
      <c r="B284" t="s">
        <v>567</v>
      </c>
      <c r="C284">
        <v>56</v>
      </c>
      <c r="D284">
        <v>44</v>
      </c>
      <c r="E284">
        <v>65</v>
      </c>
    </row>
    <row r="285" spans="1:5" x14ac:dyDescent="0.25">
      <c r="A285">
        <v>2024002</v>
      </c>
      <c r="B285" t="s">
        <v>568</v>
      </c>
      <c r="C285">
        <v>67</v>
      </c>
      <c r="D285">
        <v>57</v>
      </c>
      <c r="E285">
        <v>67</v>
      </c>
    </row>
    <row r="286" spans="1:5" x14ac:dyDescent="0.25">
      <c r="A286">
        <v>2024003</v>
      </c>
      <c r="B286" t="s">
        <v>569</v>
      </c>
      <c r="C286">
        <v>56</v>
      </c>
      <c r="D286">
        <v>68</v>
      </c>
      <c r="E286">
        <v>77</v>
      </c>
    </row>
    <row r="287" spans="1:5" x14ac:dyDescent="0.25">
      <c r="A287">
        <v>2024004</v>
      </c>
      <c r="B287" t="s">
        <v>570</v>
      </c>
      <c r="C287">
        <v>54</v>
      </c>
      <c r="D287">
        <v>46</v>
      </c>
      <c r="E287">
        <v>65</v>
      </c>
    </row>
    <row r="288" spans="1:5" x14ac:dyDescent="0.25">
      <c r="A288">
        <v>2024005</v>
      </c>
      <c r="B288" t="s">
        <v>571</v>
      </c>
      <c r="C288">
        <v>67</v>
      </c>
      <c r="D288">
        <v>68</v>
      </c>
      <c r="E288">
        <v>67</v>
      </c>
    </row>
    <row r="289" spans="1:5" x14ac:dyDescent="0.25">
      <c r="A289">
        <v>2024006</v>
      </c>
      <c r="B289" t="s">
        <v>572</v>
      </c>
      <c r="C289">
        <v>55</v>
      </c>
      <c r="D289">
        <v>57</v>
      </c>
      <c r="E289">
        <v>65</v>
      </c>
    </row>
    <row r="290" spans="1:5" x14ac:dyDescent="0.25">
      <c r="A290">
        <v>2024007</v>
      </c>
      <c r="B290" t="s">
        <v>573</v>
      </c>
      <c r="C290">
        <v>67</v>
      </c>
      <c r="D290">
        <v>57</v>
      </c>
      <c r="E290">
        <v>67</v>
      </c>
    </row>
    <row r="292" spans="1:5" x14ac:dyDescent="0.25">
      <c r="B292" t="e">
        <f>VLOOKUP(A292,Table12[],1,FALSE)</f>
        <v>#N/A</v>
      </c>
    </row>
  </sheetData>
  <autoFilter ref="A130:I155" xr:uid="{09D94EED-9ABC-4BD9-8E40-6A89E6106F9C}"/>
  <conditionalFormatting sqref="A217:G240">
    <cfRule type="containsText" dxfId="7" priority="1" operator="containsText" text="Harsh ">
      <formula>NOT(ISERROR(SEARCH("Harsh ",A217)))</formula>
    </cfRule>
    <cfRule type="cellIs" dxfId="6" priority="2" operator="equal">
      <formula>70</formula>
    </cfRule>
  </conditionalFormatting>
  <conditionalFormatting sqref="A162:I187">
    <cfRule type="dataBar" priority="14">
      <dataBar>
        <cfvo type="min"/>
        <cfvo type="max"/>
        <color rgb="FF638EC6"/>
      </dataBar>
      <extLst>
        <ext xmlns:x14="http://schemas.microsoft.com/office/spreadsheetml/2009/9/main" uri="{B025F937-C7B1-47D3-B67F-A62EFF666E3E}">
          <x14:id>{360F0996-2692-473D-990D-EAF7B8B97C8F}</x14:id>
        </ext>
      </extLst>
    </cfRule>
  </conditionalFormatting>
  <conditionalFormatting sqref="A163:I187">
    <cfRule type="colorScale" priority="11">
      <colorScale>
        <cfvo type="min"/>
        <cfvo type="percentile" val="50"/>
        <cfvo type="max"/>
        <color rgb="FFF8696B"/>
        <color rgb="FFFFEB84"/>
        <color rgb="FF63BE7B"/>
      </colorScale>
    </cfRule>
    <cfRule type="colorScale" priority="12">
      <colorScale>
        <cfvo type="min"/>
        <cfvo type="max"/>
        <color rgb="FFFF7128"/>
        <color rgb="FFFFEF9C"/>
      </colorScale>
    </cfRule>
    <cfRule type="colorScale" priority="13">
      <colorScale>
        <cfvo type="min"/>
        <cfvo type="max"/>
        <color rgb="FFFF7128"/>
        <color rgb="FFFFEF9C"/>
      </colorScale>
    </cfRule>
  </conditionalFormatting>
  <conditionalFormatting sqref="B217:G241">
    <cfRule type="dataBar" priority="3">
      <dataBar>
        <cfvo type="min"/>
        <cfvo type="max"/>
        <color rgb="FF638EC6"/>
      </dataBar>
      <extLst>
        <ext xmlns:x14="http://schemas.microsoft.com/office/spreadsheetml/2009/9/main" uri="{B025F937-C7B1-47D3-B67F-A62EFF666E3E}">
          <x14:id>{4E5CC815-3F7A-4D3E-BD31-C20C92CA2DB0}</x14:id>
        </ext>
      </extLst>
    </cfRule>
    <cfRule type="cellIs" dxfId="5" priority="4" operator="greaterThan">
      <formula>60</formula>
    </cfRule>
  </conditionalFormatting>
  <conditionalFormatting sqref="C163:H186">
    <cfRule type="aboveAverage" dxfId="4" priority="5"/>
    <cfRule type="dataBar" priority="6">
      <dataBar>
        <cfvo type="min"/>
        <cfvo type="max"/>
        <color rgb="FF638EC6"/>
      </dataBar>
      <extLst>
        <ext xmlns:x14="http://schemas.microsoft.com/office/spreadsheetml/2009/9/main" uri="{B025F937-C7B1-47D3-B67F-A62EFF666E3E}">
          <x14:id>{6826D546-DBF5-4CD1-8536-9E7C274E69D9}</x14:id>
        </ext>
      </extLst>
    </cfRule>
    <cfRule type="cellIs" dxfId="3" priority="7" operator="lessThan">
      <formula>35</formula>
    </cfRule>
    <cfRule type="cellIs" dxfId="2" priority="8" operator="between">
      <formula>20</formula>
      <formula>60</formula>
    </cfRule>
  </conditionalFormatting>
  <conditionalFormatting sqref="H172">
    <cfRule type="cellIs" dxfId="1" priority="9" operator="between">
      <formula>30</formula>
      <formula>50</formula>
    </cfRule>
    <cfRule type="cellIs" dxfId="0" priority="10" operator="greaterThan">
      <formula>70</formula>
    </cfRule>
  </conditionalFormatting>
  <dataValidations count="3">
    <dataValidation type="list" allowBlank="1" showInputMessage="1" showErrorMessage="1" sqref="C277:C280" xr:uid="{EECE07F7-EA2A-417F-B048-34BD3ED626E0}">
      <formula1>$C$277:$C$280</formula1>
    </dataValidation>
    <dataValidation type="list" allowBlank="1" showInputMessage="1" showErrorMessage="1" promptTitle="Section" prompt="Select valid class section" sqref="B216" xr:uid="{77D5132F-3B98-48BB-A7B6-993F48FEBC9B}">
      <formula1>$B$191:$B$216</formula1>
    </dataValidation>
    <dataValidation type="list" allowBlank="1" showInputMessage="1" showErrorMessage="1" errorTitle="Invalid Entry" error="Only 10A, 10B allowed" promptTitle="Section" prompt="Select valid class section" sqref="B191:B215" xr:uid="{9A759686-9860-4068-BC6B-4044B54F45FD}">
      <formula1>$B$191:$B$216</formula1>
    </dataValidation>
  </dataValidations>
  <pageMargins left="0.7" right="0.7" top="0.75" bottom="0.75" header="0.3" footer="0.3"/>
  <tableParts count="8">
    <tablePart r:id="rId3"/>
    <tablePart r:id="rId4"/>
    <tablePart r:id="rId5"/>
    <tablePart r:id="rId6"/>
    <tablePart r:id="rId7"/>
    <tablePart r:id="rId8"/>
    <tablePart r:id="rId9"/>
    <tablePart r:id="rId10"/>
  </tableParts>
  <extLst>
    <ext xmlns:x14="http://schemas.microsoft.com/office/spreadsheetml/2009/9/main" uri="{78C0D931-6437-407d-A8EE-F0AAD7539E65}">
      <x14:conditionalFormattings>
        <x14:conditionalFormatting xmlns:xm="http://schemas.microsoft.com/office/excel/2006/main">
          <x14:cfRule type="dataBar" id="{360F0996-2692-473D-990D-EAF7B8B97C8F}">
            <x14:dataBar minLength="0" maxLength="100" border="1" negativeBarBorderColorSameAsPositive="0">
              <x14:cfvo type="autoMin"/>
              <x14:cfvo type="autoMax"/>
              <x14:borderColor rgb="FF638EC6"/>
              <x14:negativeFillColor rgb="FFFF0000"/>
              <x14:negativeBorderColor rgb="FFFF0000"/>
              <x14:axisColor rgb="FF000000"/>
            </x14:dataBar>
          </x14:cfRule>
          <xm:sqref>A162:I187</xm:sqref>
        </x14:conditionalFormatting>
        <x14:conditionalFormatting xmlns:xm="http://schemas.microsoft.com/office/excel/2006/main">
          <x14:cfRule type="dataBar" id="{4E5CC815-3F7A-4D3E-BD31-C20C92CA2DB0}">
            <x14:dataBar minLength="0" maxLength="100" gradient="0">
              <x14:cfvo type="min"/>
              <x14:cfvo type="max"/>
              <x14:negativeFillColor rgb="FFFF0000"/>
              <x14:axisColor rgb="FF000000"/>
            </x14:dataBar>
          </x14:cfRule>
          <xm:sqref>B217:G241</xm:sqref>
        </x14:conditionalFormatting>
        <x14:conditionalFormatting xmlns:xm="http://schemas.microsoft.com/office/excel/2006/main">
          <x14:cfRule type="dataBar" id="{6826D546-DBF5-4CD1-8536-9E7C274E69D9}">
            <x14:dataBar minLength="0" maxLength="100" gradient="0">
              <x14:cfvo type="min"/>
              <x14:cfvo type="max"/>
              <x14:negativeFillColor rgb="FFFF0000"/>
              <x14:axisColor rgb="FF000000"/>
            </x14:dataBar>
          </x14:cfRule>
          <xm:sqref>C163:H186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A3A3-731A-47EE-853F-1045F8B33863}">
  <sheetPr codeName="Sheet11"/>
  <dimension ref="A1:K41"/>
  <sheetViews>
    <sheetView workbookViewId="0">
      <pane xSplit="1" topLeftCell="B1" activePane="topRight" state="frozen"/>
      <selection activeCell="A11" sqref="A11"/>
      <selection pane="topRight" activeCell="A2" sqref="A2:A3"/>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16384" width="9.140625" style="1"/>
  </cols>
  <sheetData>
    <row r="1" spans="1:11" ht="16.5" customHeight="1" x14ac:dyDescent="0.25">
      <c r="A1" s="65" t="s">
        <v>57</v>
      </c>
      <c r="B1" s="70"/>
      <c r="C1" s="70"/>
      <c r="D1" s="70"/>
      <c r="E1" s="70"/>
      <c r="F1" s="70"/>
    </row>
    <row r="2" spans="1:11" ht="16.5" customHeight="1" x14ac:dyDescent="0.25">
      <c r="A2" s="64" t="s">
        <v>56</v>
      </c>
      <c r="B2" s="70" t="s">
        <v>216</v>
      </c>
      <c r="C2" s="70"/>
      <c r="D2" s="70"/>
      <c r="E2" s="70"/>
      <c r="F2" s="70"/>
    </row>
    <row r="3" spans="1:11" x14ac:dyDescent="0.25">
      <c r="A3" s="64"/>
      <c r="B3" s="4" t="s">
        <v>16</v>
      </c>
      <c r="C3" s="4" t="s">
        <v>54</v>
      </c>
      <c r="D3" s="4" t="s">
        <v>53</v>
      </c>
      <c r="E3" s="4" t="s">
        <v>52</v>
      </c>
      <c r="F3" s="4" t="s">
        <v>51</v>
      </c>
    </row>
    <row r="4" spans="1:11" x14ac:dyDescent="0.25">
      <c r="A4" s="3" t="s">
        <v>50</v>
      </c>
      <c r="B4" s="2">
        <v>0.92900449833757093</v>
      </c>
      <c r="C4" s="2">
        <v>0.82308983592353935</v>
      </c>
      <c r="D4" s="2">
        <v>0.8892054125546851</v>
      </c>
      <c r="E4" s="2">
        <v>0.82066135650494809</v>
      </c>
      <c r="F4" s="2">
        <v>0.61922454034486041</v>
      </c>
      <c r="H4" s="51" t="s">
        <v>49</v>
      </c>
      <c r="I4" s="51"/>
      <c r="J4" s="51"/>
      <c r="K4" s="51"/>
    </row>
    <row r="5" spans="1:11" x14ac:dyDescent="0.25">
      <c r="A5" s="3" t="s">
        <v>48</v>
      </c>
      <c r="B5" s="2">
        <v>1.5100246822935113</v>
      </c>
      <c r="C5" s="2">
        <v>1.4347593154556777</v>
      </c>
      <c r="D5" s="2">
        <v>1.481804514523299</v>
      </c>
      <c r="E5" s="2">
        <v>1.1351827368280327</v>
      </c>
      <c r="F5" s="2">
        <v>0</v>
      </c>
    </row>
    <row r="6" spans="1:11" x14ac:dyDescent="0.25">
      <c r="A6" s="3" t="s">
        <v>47</v>
      </c>
      <c r="B6" s="2">
        <v>0.88715247798307717</v>
      </c>
      <c r="C6" s="2">
        <v>1.0575767976660373</v>
      </c>
      <c r="D6" s="2">
        <v>0.94419553104715948</v>
      </c>
      <c r="E6" s="2">
        <v>0.57328306580123589</v>
      </c>
      <c r="F6" s="2">
        <v>0.18555425743935125</v>
      </c>
    </row>
    <row r="7" spans="1:11" x14ac:dyDescent="0.25">
      <c r="A7" s="3" t="s">
        <v>46</v>
      </c>
      <c r="B7" s="2">
        <v>1.4930541448218706</v>
      </c>
      <c r="C7" s="2">
        <v>1.1896037897249321</v>
      </c>
      <c r="D7" s="2">
        <v>1.3957288104531118</v>
      </c>
      <c r="E7" s="2">
        <v>0.32514155266086275</v>
      </c>
      <c r="F7" s="2">
        <v>0.12616457417178878</v>
      </c>
    </row>
    <row r="8" spans="1:11" x14ac:dyDescent="0.25">
      <c r="A8" s="3" t="s">
        <v>45</v>
      </c>
      <c r="B8" s="2">
        <v>0.85858693869985814</v>
      </c>
      <c r="C8" s="2">
        <v>0.72382341501083136</v>
      </c>
      <c r="D8" s="2">
        <v>0.81521348777299474</v>
      </c>
      <c r="E8" s="2">
        <v>0.2127560463028822</v>
      </c>
      <c r="F8" s="2">
        <v>8.5147634204963948E-2</v>
      </c>
    </row>
    <row r="9" spans="1:11" x14ac:dyDescent="0.25">
      <c r="A9" s="3" t="s">
        <v>44</v>
      </c>
      <c r="B9" s="2">
        <v>1.736853589351953</v>
      </c>
      <c r="C9" s="2">
        <v>3.3288022490654634</v>
      </c>
      <c r="D9" s="2">
        <v>2.3958106881162164</v>
      </c>
      <c r="E9" s="2">
        <v>2.5927268333937414</v>
      </c>
      <c r="F9" s="2">
        <v>0.87307759853483524</v>
      </c>
    </row>
    <row r="10" spans="1:11" x14ac:dyDescent="0.25">
      <c r="A10" s="3" t="s">
        <v>41</v>
      </c>
      <c r="B10" s="2">
        <v>1.4369003385108474</v>
      </c>
      <c r="C10" s="2">
        <v>1.444294335963112</v>
      </c>
      <c r="D10" s="2">
        <v>1.4396870433453151</v>
      </c>
      <c r="E10" s="2">
        <v>0.3729987082800415</v>
      </c>
      <c r="F10" s="2">
        <v>0.23731055248130978</v>
      </c>
    </row>
    <row r="11" spans="1:11" x14ac:dyDescent="0.25">
      <c r="A11" s="3" t="s">
        <v>38</v>
      </c>
      <c r="B11" s="2">
        <v>0.76484991883786824</v>
      </c>
      <c r="C11" s="2">
        <v>0.6148345179435748</v>
      </c>
      <c r="D11" s="2">
        <v>0.70681511470985159</v>
      </c>
      <c r="E11" s="2">
        <v>0.49594229035166815</v>
      </c>
      <c r="F11" s="2">
        <v>0.31401655723665428</v>
      </c>
    </row>
    <row r="12" spans="1:11" x14ac:dyDescent="0.25">
      <c r="A12" s="3" t="s">
        <v>37</v>
      </c>
      <c r="B12" s="2">
        <v>0.39306482877449928</v>
      </c>
      <c r="C12" s="2">
        <v>0.53576743724575859</v>
      </c>
      <c r="D12" s="2">
        <v>0.4432655055669959</v>
      </c>
      <c r="E12" s="2">
        <v>0.42553191489361702</v>
      </c>
      <c r="F12" s="2">
        <v>0.19701660568533633</v>
      </c>
    </row>
    <row r="13" spans="1:11" x14ac:dyDescent="0.25">
      <c r="A13" s="3" t="s">
        <v>36</v>
      </c>
      <c r="B13" s="2">
        <v>0.52162082872589766</v>
      </c>
      <c r="C13" s="2">
        <v>0.81392326804029524</v>
      </c>
      <c r="D13" s="2">
        <v>0.63188869603858255</v>
      </c>
      <c r="E13" s="2">
        <v>0.77200171136043705</v>
      </c>
      <c r="F13" s="2">
        <v>0.6801476194833318</v>
      </c>
    </row>
    <row r="14" spans="1:11" x14ac:dyDescent="0.25">
      <c r="A14" s="3" t="s">
        <v>35</v>
      </c>
      <c r="B14" s="2">
        <v>1.43347779867528</v>
      </c>
      <c r="C14" s="2">
        <v>2.3746738856004712</v>
      </c>
      <c r="D14" s="2">
        <v>1.7801057938672618</v>
      </c>
      <c r="E14" s="2">
        <v>1.0307784654233849</v>
      </c>
      <c r="F14" s="2">
        <v>0.30747653468551084</v>
      </c>
    </row>
    <row r="15" spans="1:11" x14ac:dyDescent="0.25">
      <c r="A15" s="3" t="s">
        <v>34</v>
      </c>
      <c r="B15" s="2">
        <v>1.0653845554226569</v>
      </c>
      <c r="C15" s="2">
        <v>1.2858656895094334</v>
      </c>
      <c r="D15" s="2">
        <v>1.150909996956339</v>
      </c>
      <c r="E15" s="2">
        <v>0.58772596976215696</v>
      </c>
      <c r="F15" s="2">
        <v>0.40647309998688119</v>
      </c>
    </row>
    <row r="16" spans="1:11" x14ac:dyDescent="0.25">
      <c r="A16" s="3" t="s">
        <v>33</v>
      </c>
      <c r="B16" s="2">
        <v>0.62746522796861681</v>
      </c>
      <c r="C16" s="2">
        <v>0.72650373499142673</v>
      </c>
      <c r="D16" s="2">
        <v>0.66435689071249415</v>
      </c>
      <c r="E16" s="2">
        <v>0.46975703331902097</v>
      </c>
      <c r="F16" s="2">
        <v>0.23066722386566679</v>
      </c>
    </row>
    <row r="17" spans="1:6" x14ac:dyDescent="0.25">
      <c r="A17" s="3" t="s">
        <v>32</v>
      </c>
      <c r="B17" s="2">
        <v>0.8512396981242164</v>
      </c>
      <c r="C17" s="2">
        <v>0.94433236113243124</v>
      </c>
      <c r="D17" s="2">
        <v>0.88734247996649207</v>
      </c>
      <c r="E17" s="2">
        <v>0.7578290875834478</v>
      </c>
      <c r="F17" s="2">
        <v>0.45607473208474281</v>
      </c>
    </row>
    <row r="18" spans="1:6" x14ac:dyDescent="0.25">
      <c r="A18" s="3" t="s">
        <v>31</v>
      </c>
      <c r="B18" s="2">
        <v>1.0317508510113909</v>
      </c>
      <c r="C18" s="2">
        <v>1.0730703139310729</v>
      </c>
      <c r="D18" s="2">
        <v>1.0457402843019648</v>
      </c>
      <c r="E18" s="2">
        <v>0.44780278739617735</v>
      </c>
      <c r="F18" s="2">
        <v>0.19849734812931968</v>
      </c>
    </row>
    <row r="19" spans="1:6" x14ac:dyDescent="0.25">
      <c r="A19" s="3" t="s">
        <v>30</v>
      </c>
      <c r="B19" s="2">
        <v>1.0487311685187273</v>
      </c>
      <c r="C19" s="2">
        <v>0.99617832327652656</v>
      </c>
      <c r="D19" s="2">
        <v>1.0319492995592956</v>
      </c>
      <c r="E19" s="2">
        <v>0.34077290097912849</v>
      </c>
      <c r="F19" s="2">
        <v>0.13023502879615306</v>
      </c>
    </row>
    <row r="20" spans="1:6" x14ac:dyDescent="0.25">
      <c r="A20" s="3" t="s">
        <v>29</v>
      </c>
      <c r="B20" s="2">
        <v>0.93642101365343056</v>
      </c>
      <c r="C20" s="2">
        <v>1.0649794330727971</v>
      </c>
      <c r="D20" s="2">
        <v>0.98129579012699797</v>
      </c>
      <c r="E20" s="2">
        <v>0.77866962921816418</v>
      </c>
      <c r="F20" s="2">
        <v>0.78418129971484318</v>
      </c>
    </row>
    <row r="21" spans="1:6" x14ac:dyDescent="0.25">
      <c r="A21" s="3" t="s">
        <v>28</v>
      </c>
      <c r="B21" s="2">
        <v>2.6804679217128791</v>
      </c>
      <c r="C21" s="2">
        <v>3.9168378094428578</v>
      </c>
      <c r="D21" s="2">
        <v>3.1516472118834757</v>
      </c>
      <c r="E21" s="2">
        <v>1.7931191166212754</v>
      </c>
      <c r="F21" s="2">
        <v>0.88774633322166707</v>
      </c>
    </row>
    <row r="22" spans="1:6" x14ac:dyDescent="0.25">
      <c r="A22" s="3" t="s">
        <v>27</v>
      </c>
      <c r="B22" s="2">
        <v>3.0607364897178386</v>
      </c>
      <c r="C22" s="2">
        <v>2.454780361757106</v>
      </c>
      <c r="D22" s="2">
        <v>2.8029678483099754</v>
      </c>
      <c r="E22" s="2">
        <v>1.0064412238325282</v>
      </c>
      <c r="F22" s="2">
        <v>0.66917607695524883</v>
      </c>
    </row>
    <row r="23" spans="1:6" x14ac:dyDescent="0.25">
      <c r="A23" s="3" t="s">
        <v>26</v>
      </c>
      <c r="B23" s="2">
        <v>0.90850864448017055</v>
      </c>
      <c r="C23" s="2">
        <v>1.0206265054213035</v>
      </c>
      <c r="D23" s="2">
        <v>0.94903343164301612</v>
      </c>
      <c r="E23" s="2">
        <v>0.40900624106589412</v>
      </c>
      <c r="F23" s="2">
        <v>0.27949834015112668</v>
      </c>
    </row>
    <row r="24" spans="1:6" x14ac:dyDescent="0.25">
      <c r="A24" s="3" t="s">
        <v>25</v>
      </c>
      <c r="B24" s="2">
        <v>1.7712864356907128</v>
      </c>
      <c r="C24" s="2">
        <v>1.7634692675967973</v>
      </c>
      <c r="D24" s="2">
        <v>1.7683603958334793</v>
      </c>
      <c r="E24" s="2">
        <v>1.2376706412025733</v>
      </c>
      <c r="F24" s="2">
        <v>0.38447756602418104</v>
      </c>
    </row>
    <row r="25" spans="1:6" x14ac:dyDescent="0.25">
      <c r="A25" s="3" t="s">
        <v>24</v>
      </c>
      <c r="B25" s="2">
        <v>1.516080065621376</v>
      </c>
      <c r="C25" s="2">
        <v>0.91954659705440422</v>
      </c>
      <c r="D25" s="2">
        <v>1.3298516238370284</v>
      </c>
      <c r="E25" s="2">
        <v>0.68509509622757725</v>
      </c>
      <c r="F25" s="2">
        <v>0.2941691472596743</v>
      </c>
    </row>
    <row r="26" spans="1:6" x14ac:dyDescent="0.25">
      <c r="A26" s="3" t="s">
        <v>17</v>
      </c>
      <c r="B26" s="2">
        <v>0.56123231948787555</v>
      </c>
      <c r="C26" s="2">
        <v>0.38423920637138465</v>
      </c>
      <c r="D26" s="2">
        <v>0.5081909323998588</v>
      </c>
      <c r="E26" s="2">
        <v>0.22756180936481435</v>
      </c>
      <c r="F26" s="2">
        <v>0.15955961546132674</v>
      </c>
    </row>
    <row r="27" spans="1:6" x14ac:dyDescent="0.25">
      <c r="A27" s="3" t="s">
        <v>14</v>
      </c>
      <c r="B27" s="2">
        <v>1.5430653516345225</v>
      </c>
      <c r="C27" s="2">
        <v>2.4467596139114445</v>
      </c>
      <c r="D27" s="2">
        <v>1.8351440484089807</v>
      </c>
      <c r="E27" s="2">
        <v>3.0222562895233924</v>
      </c>
      <c r="F27" s="2">
        <v>1.1579414374445431</v>
      </c>
    </row>
    <row r="28" spans="1:6" x14ac:dyDescent="0.25">
      <c r="A28" s="3" t="s">
        <v>13</v>
      </c>
      <c r="B28" s="2">
        <v>0.40066521683510298</v>
      </c>
      <c r="C28" s="2">
        <v>0.38199264385518733</v>
      </c>
      <c r="D28" s="2">
        <v>0.39439952672056788</v>
      </c>
      <c r="E28" s="2">
        <v>0.31702544031311153</v>
      </c>
      <c r="F28" s="2">
        <v>0.18331510902424905</v>
      </c>
    </row>
    <row r="29" spans="1:6" x14ac:dyDescent="0.25">
      <c r="A29" s="3" t="s">
        <v>12</v>
      </c>
      <c r="B29" s="2">
        <v>1.5955089898751871</v>
      </c>
      <c r="C29" s="2">
        <v>1.9788400813836111</v>
      </c>
      <c r="D29" s="2">
        <v>1.7331811343129464</v>
      </c>
      <c r="E29" s="2">
        <v>0.93684277611369571</v>
      </c>
      <c r="F29" s="2">
        <v>0.20568518993369722</v>
      </c>
    </row>
    <row r="30" spans="1:6" x14ac:dyDescent="0.25">
      <c r="A30" s="3" t="s">
        <v>11</v>
      </c>
      <c r="B30" s="2">
        <v>0.53717355277444423</v>
      </c>
      <c r="C30" s="2">
        <v>0.94136843591634367</v>
      </c>
      <c r="D30" s="2">
        <v>0.68985545039145146</v>
      </c>
      <c r="E30" s="2">
        <v>0.99501344302226713</v>
      </c>
      <c r="F30" s="2">
        <v>1.2507565059511803</v>
      </c>
    </row>
    <row r="31" spans="1:6" x14ac:dyDescent="0.25">
      <c r="A31" s="3" t="s">
        <v>10</v>
      </c>
      <c r="B31" s="2">
        <v>1.9462486601255418</v>
      </c>
      <c r="C31" s="2">
        <v>2.0169225588351618</v>
      </c>
      <c r="D31" s="2">
        <v>1.9728172053613706</v>
      </c>
      <c r="E31" s="2">
        <v>0.84893258218120249</v>
      </c>
      <c r="F31" s="2">
        <v>0.47268235998330721</v>
      </c>
    </row>
    <row r="32" spans="1:6" x14ac:dyDescent="0.25">
      <c r="A32" s="3" t="s">
        <v>9</v>
      </c>
      <c r="B32" s="2">
        <v>0.87483625677717591</v>
      </c>
      <c r="C32" s="2">
        <v>0.9104865280372566</v>
      </c>
      <c r="D32" s="2">
        <v>0.88685046747045049</v>
      </c>
      <c r="E32" s="2">
        <v>0.28968945664919049</v>
      </c>
      <c r="F32" s="2">
        <v>0.19326039241887602</v>
      </c>
    </row>
    <row r="33" spans="1:6" x14ac:dyDescent="0.25">
      <c r="A33" s="3" t="s">
        <v>8</v>
      </c>
      <c r="B33" s="2">
        <v>0.87356321839080453</v>
      </c>
      <c r="C33" s="2">
        <v>0.79196158986289156</v>
      </c>
      <c r="D33" s="2">
        <v>0.8387757039913063</v>
      </c>
      <c r="E33" s="2">
        <v>0.89902638190954776</v>
      </c>
      <c r="F33" s="2">
        <v>0.57987280209502423</v>
      </c>
    </row>
    <row r="34" spans="1:6" x14ac:dyDescent="0.25">
      <c r="A34" s="3" t="s">
        <v>7</v>
      </c>
      <c r="B34" s="2">
        <v>1.3971007325922984</v>
      </c>
      <c r="C34" s="2">
        <v>1.6822248545589062</v>
      </c>
      <c r="D34" s="2">
        <v>1.5054959483546408</v>
      </c>
      <c r="E34" s="2">
        <v>0.54194033250232854</v>
      </c>
      <c r="F34" s="2">
        <v>0.24451516763300526</v>
      </c>
    </row>
    <row r="35" spans="1:6" x14ac:dyDescent="0.25">
      <c r="A35" s="3" t="s">
        <v>6</v>
      </c>
      <c r="B35" s="2">
        <v>1.0132541308391494</v>
      </c>
      <c r="C35" s="2">
        <v>0.83482593993255627</v>
      </c>
      <c r="D35" s="2">
        <v>0.94996400975348139</v>
      </c>
      <c r="E35" s="2">
        <v>0.75904783879696502</v>
      </c>
      <c r="F35" s="2">
        <v>0.32362968241326795</v>
      </c>
    </row>
    <row r="36" spans="1:6" x14ac:dyDescent="0.25">
      <c r="A36" s="3" t="s">
        <v>5</v>
      </c>
      <c r="B36" s="2">
        <v>0.61163661656879909</v>
      </c>
      <c r="C36" s="2">
        <v>0.61551989448230382</v>
      </c>
      <c r="D36" s="2">
        <v>0.61305478264836022</v>
      </c>
      <c r="E36" s="2">
        <v>0.4679918961147701</v>
      </c>
      <c r="F36" s="2">
        <v>0.22480535146397629</v>
      </c>
    </row>
    <row r="37" spans="1:6" x14ac:dyDescent="0.25">
      <c r="A37" s="3" t="s">
        <v>4</v>
      </c>
      <c r="B37" s="2">
        <v>0.76947595852066675</v>
      </c>
      <c r="C37" s="2">
        <v>0.52010378018999726</v>
      </c>
      <c r="D37" s="2">
        <v>0.69182253125347093</v>
      </c>
      <c r="E37" s="2">
        <v>9.3993788147436058E-2</v>
      </c>
      <c r="F37" s="2">
        <v>7.6603730857304791E-2</v>
      </c>
    </row>
    <row r="38" spans="1:6" x14ac:dyDescent="0.25">
      <c r="A38" s="3" t="s">
        <v>3</v>
      </c>
      <c r="B38" s="2">
        <v>0.48628053566580542</v>
      </c>
      <c r="C38" s="2">
        <v>0.35447138658005539</v>
      </c>
      <c r="D38" s="2">
        <v>0.43947013478870595</v>
      </c>
      <c r="E38" s="2">
        <v>0.27338185904891338</v>
      </c>
      <c r="F38" s="2">
        <v>0.20431385923699452</v>
      </c>
    </row>
    <row r="39" spans="1:6" x14ac:dyDescent="0.25">
      <c r="A39" s="3" t="s">
        <v>2</v>
      </c>
      <c r="B39" s="2">
        <v>0.93489469174340356</v>
      </c>
      <c r="C39" s="2">
        <v>0.73948311467166983</v>
      </c>
      <c r="D39" s="2">
        <v>0.8631205808067054</v>
      </c>
      <c r="E39" s="2">
        <v>0.54165860397632615</v>
      </c>
      <c r="F39" s="2">
        <v>0.415768001455188</v>
      </c>
    </row>
    <row r="40" spans="1:6" x14ac:dyDescent="0.25">
      <c r="A40" s="3" t="s">
        <v>1</v>
      </c>
      <c r="B40" s="2">
        <v>1.0921452406281178</v>
      </c>
      <c r="C40" s="2">
        <v>1.1276678112086931</v>
      </c>
      <c r="D40" s="2">
        <v>1.1045068036906052</v>
      </c>
      <c r="E40" s="2">
        <v>0.56213893654143665</v>
      </c>
      <c r="F40" s="2">
        <v>0.27689617460834365</v>
      </c>
    </row>
    <row r="41" spans="1:6" x14ac:dyDescent="0.25">
      <c r="A41" s="67" t="s">
        <v>0</v>
      </c>
      <c r="B41" s="68"/>
      <c r="C41" s="68"/>
      <c r="D41" s="68"/>
      <c r="E41" s="68"/>
      <c r="F41" s="69"/>
    </row>
  </sheetData>
  <mergeCells count="5">
    <mergeCell ref="A41:F41"/>
    <mergeCell ref="A1:F1"/>
    <mergeCell ref="A2:A3"/>
    <mergeCell ref="B2:F2"/>
    <mergeCell ref="H4:K4"/>
  </mergeCells>
  <hyperlinks>
    <hyperlink ref="H4:K4" location="'SDG 4 - Index'!A1" display="Return to Index Page" xr:uid="{9B33A717-D32A-47F8-8C29-88B290290C3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7891-5131-483E-926C-A98AC2852219}">
  <dimension ref="B2:S28"/>
  <sheetViews>
    <sheetView workbookViewId="0">
      <selection activeCell="L4" sqref="L4:Q10"/>
    </sheetView>
  </sheetViews>
  <sheetFormatPr defaultRowHeight="15" x14ac:dyDescent="0.25"/>
  <cols>
    <col min="2" max="2" width="12.85546875" bestFit="1" customWidth="1"/>
    <col min="3" max="3" width="13.28515625" bestFit="1" customWidth="1"/>
    <col min="11" max="11" width="10.85546875" bestFit="1" customWidth="1"/>
    <col min="14" max="14" width="10" bestFit="1" customWidth="1"/>
  </cols>
  <sheetData>
    <row r="2" spans="2:2" x14ac:dyDescent="0.25">
      <c r="B2" t="s">
        <v>557</v>
      </c>
    </row>
    <row r="4" spans="2:2" ht="36" x14ac:dyDescent="0.25">
      <c r="B4" s="47">
        <f>COUNTA(Student_Dataset[Student Name])</f>
        <v>150</v>
      </c>
    </row>
    <row r="18" spans="16:19" x14ac:dyDescent="0.25">
      <c r="P18" t="s">
        <v>551</v>
      </c>
      <c r="Q18" t="s">
        <v>179</v>
      </c>
      <c r="R18" t="s">
        <v>556</v>
      </c>
      <c r="S18" t="s">
        <v>79</v>
      </c>
    </row>
    <row r="19" spans="16:19" x14ac:dyDescent="0.25">
      <c r="P19" t="s">
        <v>552</v>
      </c>
      <c r="Q19">
        <f>COUNTIF('Student Dataset'!M2:M32,"A GRADE")</f>
        <v>7</v>
      </c>
      <c r="R19" t="s">
        <v>134</v>
      </c>
      <c r="S19">
        <f>AVERAGEIF(Student_Dataset[Class],"6A",Student_Dataset[Percentage])</f>
        <v>77.249999999999986</v>
      </c>
    </row>
    <row r="20" spans="16:19" x14ac:dyDescent="0.25">
      <c r="P20" t="s">
        <v>553</v>
      </c>
      <c r="Q20">
        <f>COUNTIF(Student_Dataset[[#Headers],[#Data],[Grade]],"B GRADE")</f>
        <v>75</v>
      </c>
      <c r="R20" t="s">
        <v>127</v>
      </c>
      <c r="S20" s="34">
        <f>AVERAGEIF(Student_Dataset[Class],"6B",Student_Dataset[Percentage])</f>
        <v>82.221052631578956</v>
      </c>
    </row>
    <row r="21" spans="16:19" x14ac:dyDescent="0.25">
      <c r="P21" t="s">
        <v>554</v>
      </c>
      <c r="Q21">
        <f>COUNTIF(Student_Dataset[[#Headers],[#Data],[Grade]],"C GRADE")</f>
        <v>40</v>
      </c>
      <c r="R21" t="s">
        <v>129</v>
      </c>
      <c r="S21" s="34">
        <f>AVERAGEIF(Student_Dataset[Class],"7A",Student_Dataset[Percentage])</f>
        <v>78.571428571428569</v>
      </c>
    </row>
    <row r="22" spans="16:19" x14ac:dyDescent="0.25">
      <c r="P22" t="s">
        <v>555</v>
      </c>
      <c r="Q22">
        <f>COUNTIF(Student_Dataset[[#Headers],[#Data],[Grade]],"D GRADE")</f>
        <v>4</v>
      </c>
      <c r="R22" t="s">
        <v>133</v>
      </c>
      <c r="S22" s="34">
        <f>AVERAGEIF(Student_Dataset[Class],"7B",Student_Dataset[Percentage])</f>
        <v>77.275000000000006</v>
      </c>
    </row>
    <row r="23" spans="16:19" x14ac:dyDescent="0.25">
      <c r="R23" t="s">
        <v>130</v>
      </c>
      <c r="S23" s="34">
        <f>AVERAGEIF(Student_Dataset[Class],"8A",Student_Dataset[Percentage])</f>
        <v>80.966666666666669</v>
      </c>
    </row>
    <row r="24" spans="16:19" x14ac:dyDescent="0.25">
      <c r="R24" t="s">
        <v>128</v>
      </c>
      <c r="S24" s="34">
        <f>AVERAGEIF(Student_Dataset[Class],"8B",Student_Dataset[Percentage])</f>
        <v>77.453333333333333</v>
      </c>
    </row>
    <row r="25" spans="16:19" x14ac:dyDescent="0.25">
      <c r="R25" t="s">
        <v>131</v>
      </c>
      <c r="S25" s="34">
        <f>AVERAGEIF(Student_Dataset[Class],"9A",Student_Dataset[Percentage])</f>
        <v>84.616666666666674</v>
      </c>
    </row>
    <row r="26" spans="16:19" x14ac:dyDescent="0.25">
      <c r="R26" t="s">
        <v>132</v>
      </c>
      <c r="S26" s="34">
        <f>AVERAGEIF(Student_Dataset[Class],"9B",Student_Dataset[Percentage])</f>
        <v>78.877777777777794</v>
      </c>
    </row>
    <row r="27" spans="16:19" x14ac:dyDescent="0.25">
      <c r="R27" t="s">
        <v>124</v>
      </c>
      <c r="S27" s="34">
        <f>AVERAGEIF(Student_Dataset[Class],"10B",Student_Dataset[Percentage])</f>
        <v>81.400000000000006</v>
      </c>
    </row>
    <row r="28" spans="16:19" x14ac:dyDescent="0.25">
      <c r="R28" t="s">
        <v>350</v>
      </c>
      <c r="S28" s="34">
        <f>AVERAGEIF(Student_Dataset[Class],"10B",Student_Dataset[Percentage])</f>
        <v>81.400000000000006</v>
      </c>
    </row>
  </sheetData>
  <phoneticPr fontId="1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AE4E-0E4B-4601-9BDD-0E474EC846C6}">
  <sheetPr codeName="Sheet12"/>
  <dimension ref="A1:Z171"/>
  <sheetViews>
    <sheetView zoomScale="70" zoomScaleNormal="70" workbookViewId="0">
      <selection activeCell="I13" sqref="I13"/>
    </sheetView>
  </sheetViews>
  <sheetFormatPr defaultRowHeight="15" x14ac:dyDescent="0.25"/>
  <cols>
    <col min="1" max="1" width="22.85546875" bestFit="1" customWidth="1"/>
    <col min="2" max="10" width="20.5703125" bestFit="1" customWidth="1"/>
    <col min="11" max="12" width="16" bestFit="1" customWidth="1"/>
    <col min="13" max="13" width="10.7109375" customWidth="1"/>
    <col min="16" max="24" width="13.28515625" customWidth="1"/>
    <col min="25" max="27" width="14.5703125" customWidth="1"/>
  </cols>
  <sheetData>
    <row r="1" spans="1:26" x14ac:dyDescent="0.25">
      <c r="A1" t="s">
        <v>507</v>
      </c>
      <c r="B1" t="s">
        <v>84</v>
      </c>
      <c r="C1" t="s">
        <v>91</v>
      </c>
      <c r="D1" t="s">
        <v>141</v>
      </c>
      <c r="E1" t="s">
        <v>140</v>
      </c>
      <c r="F1" t="s">
        <v>139</v>
      </c>
      <c r="G1" t="s">
        <v>138</v>
      </c>
      <c r="H1" t="s">
        <v>137</v>
      </c>
      <c r="I1" t="s">
        <v>136</v>
      </c>
      <c r="J1" t="s">
        <v>506</v>
      </c>
      <c r="K1" t="s">
        <v>135</v>
      </c>
      <c r="L1" t="s">
        <v>505</v>
      </c>
      <c r="M1" t="s">
        <v>209</v>
      </c>
    </row>
    <row r="2" spans="1:26" x14ac:dyDescent="0.25">
      <c r="A2" t="s">
        <v>478</v>
      </c>
      <c r="B2" t="s">
        <v>256</v>
      </c>
      <c r="C2" t="s">
        <v>134</v>
      </c>
      <c r="D2">
        <v>71</v>
      </c>
      <c r="E2">
        <v>95</v>
      </c>
      <c r="F2">
        <v>96</v>
      </c>
      <c r="G2">
        <v>91</v>
      </c>
      <c r="H2">
        <v>78</v>
      </c>
      <c r="I2">
        <v>58</v>
      </c>
      <c r="J2">
        <f>SUM(Student_Dataset[[#This Row],[Mathematics]:[Computer Science]])</f>
        <v>489</v>
      </c>
      <c r="K2">
        <v>500</v>
      </c>
      <c r="L2">
        <f t="shared" ref="L2:L33" si="0">(J2/K2)*100</f>
        <v>97.8</v>
      </c>
      <c r="M2" t="str">
        <f t="shared" ref="M2:M33" si="1">IF(L2&gt;=90,"A Grade",IF(L2&gt;=75,"B Grade",IF(L2&gt;=60,"C Grade",IF(L2&gt;=50,"D Grade","Fail"))))</f>
        <v>A Grade</v>
      </c>
      <c r="P2" t="s">
        <v>23</v>
      </c>
      <c r="Q2" t="s">
        <v>22</v>
      </c>
      <c r="R2" t="s">
        <v>201</v>
      </c>
      <c r="S2" t="s">
        <v>200</v>
      </c>
      <c r="T2" t="s">
        <v>199</v>
      </c>
      <c r="U2" t="s">
        <v>503</v>
      </c>
      <c r="V2" t="s">
        <v>502</v>
      </c>
      <c r="W2" t="s">
        <v>501</v>
      </c>
      <c r="X2" t="s">
        <v>500</v>
      </c>
      <c r="Y2" t="s">
        <v>499</v>
      </c>
      <c r="Z2" t="s">
        <v>498</v>
      </c>
    </row>
    <row r="3" spans="1:26" x14ac:dyDescent="0.25">
      <c r="A3" t="s">
        <v>461</v>
      </c>
      <c r="B3" t="s">
        <v>277</v>
      </c>
      <c r="C3" t="s">
        <v>134</v>
      </c>
      <c r="D3">
        <v>42</v>
      </c>
      <c r="E3">
        <v>96</v>
      </c>
      <c r="F3">
        <v>86</v>
      </c>
      <c r="G3">
        <v>89</v>
      </c>
      <c r="H3">
        <v>48</v>
      </c>
      <c r="I3">
        <v>97</v>
      </c>
      <c r="J3">
        <f>SUM(Student_Dataset[[#This Row],[Mathematics]:[Computer Science]])</f>
        <v>458</v>
      </c>
      <c r="K3">
        <v>500</v>
      </c>
      <c r="L3">
        <f t="shared" si="0"/>
        <v>91.600000000000009</v>
      </c>
      <c r="M3" t="str">
        <f t="shared" si="1"/>
        <v>A Grade</v>
      </c>
      <c r="P3" t="s">
        <v>496</v>
      </c>
      <c r="Q3" t="s">
        <v>495</v>
      </c>
      <c r="R3" t="s">
        <v>494</v>
      </c>
      <c r="S3" t="s">
        <v>493</v>
      </c>
      <c r="T3" t="s">
        <v>492</v>
      </c>
      <c r="U3" t="s">
        <v>491</v>
      </c>
      <c r="V3" t="s">
        <v>490</v>
      </c>
      <c r="W3" t="s">
        <v>489</v>
      </c>
      <c r="X3" t="s">
        <v>488</v>
      </c>
      <c r="Y3" t="s">
        <v>487</v>
      </c>
      <c r="Z3" t="s">
        <v>486</v>
      </c>
    </row>
    <row r="4" spans="1:26" x14ac:dyDescent="0.25">
      <c r="A4" t="s">
        <v>443</v>
      </c>
      <c r="B4" t="s">
        <v>331</v>
      </c>
      <c r="C4" t="s">
        <v>134</v>
      </c>
      <c r="D4">
        <v>98</v>
      </c>
      <c r="E4">
        <v>71</v>
      </c>
      <c r="F4">
        <v>64</v>
      </c>
      <c r="G4">
        <v>80</v>
      </c>
      <c r="H4">
        <v>63</v>
      </c>
      <c r="I4">
        <v>59</v>
      </c>
      <c r="J4">
        <f>SUM(Student_Dataset[[#This Row],[Mathematics]:[Computer Science]])</f>
        <v>435</v>
      </c>
      <c r="K4">
        <v>500</v>
      </c>
      <c r="L4">
        <f t="shared" si="0"/>
        <v>87</v>
      </c>
      <c r="M4" t="str">
        <f t="shared" si="1"/>
        <v>B Grade</v>
      </c>
      <c r="Q4">
        <f>SUMIF(C2:C151,"6A",Student_Dataset[[Mathematics]:[Computer Science]])</f>
        <v>982</v>
      </c>
      <c r="R4">
        <f>SUMIF(C2:C151,"6B",Student_Dataset[[Mathematics]:[Computer Science]])</f>
        <v>1267</v>
      </c>
      <c r="S4">
        <f>SUMIF(C2:C151,"7A",Student_Dataset[[Mathematics]:[Computer Science]])</f>
        <v>449</v>
      </c>
      <c r="T4">
        <f>SUMIF(C2:C151,"7B",Student_Dataset[[Mathematics]:[Computer Science]])</f>
        <v>464</v>
      </c>
      <c r="U4">
        <f>SUMIF(C2:C151,"8A",Student_Dataset[[Mathematics]:[Computer Science]])</f>
        <v>879</v>
      </c>
      <c r="V4">
        <f>SUMIF(C2:C151,"8B",Student_Dataset[[Mathematics]:[Computer Science]])</f>
        <v>995</v>
      </c>
      <c r="W4">
        <f>SUMIF(C2:C151,"9A",Student_Dataset[[Mathematics]:[Computer Science]])</f>
        <v>1737</v>
      </c>
      <c r="X4">
        <f>SUMIF(C2:C151,"9B",Student_Dataset[[Mathematics]:[Computer Science]])</f>
        <v>1069</v>
      </c>
      <c r="Y4">
        <f>SUMIF(C2:C151,"10A",Student_Dataset[[Mathematics]:[Computer Science]])</f>
        <v>1369</v>
      </c>
      <c r="Z4">
        <f>SUMIF(C2:C151,"10B",Student_Dataset[[Mathematics]:[Computer Science]])</f>
        <v>798</v>
      </c>
    </row>
    <row r="5" spans="1:26" x14ac:dyDescent="0.25">
      <c r="A5" t="s">
        <v>440</v>
      </c>
      <c r="B5" t="s">
        <v>278</v>
      </c>
      <c r="C5" t="s">
        <v>134</v>
      </c>
      <c r="D5">
        <v>94</v>
      </c>
      <c r="E5">
        <v>71</v>
      </c>
      <c r="F5">
        <v>55</v>
      </c>
      <c r="G5">
        <v>44</v>
      </c>
      <c r="H5">
        <v>91</v>
      </c>
      <c r="I5">
        <v>79</v>
      </c>
      <c r="J5">
        <f>SUM(Student_Dataset[[#This Row],[Mathematics]:[Computer Science]])</f>
        <v>434</v>
      </c>
      <c r="K5">
        <v>500</v>
      </c>
      <c r="L5">
        <f t="shared" si="0"/>
        <v>86.8</v>
      </c>
      <c r="M5" t="str">
        <f t="shared" si="1"/>
        <v>B Grade</v>
      </c>
      <c r="P5" t="s">
        <v>483</v>
      </c>
      <c r="Q5">
        <f>COUNTIF(Student_Dataset[Class],"6A")</f>
        <v>16</v>
      </c>
      <c r="R5">
        <f>COUNTIF(Student_Dataset[Class],"6B")</f>
        <v>19</v>
      </c>
      <c r="S5">
        <f>COUNTIF(Student_Dataset[Class],"7A")</f>
        <v>7</v>
      </c>
      <c r="T5">
        <f>COUNTIF(Student_Dataset[],"7B")</f>
        <v>8</v>
      </c>
      <c r="U5">
        <f>COUNTIF(Student_Dataset[],"8A")</f>
        <v>12</v>
      </c>
      <c r="V5">
        <f>COUNTIF(Student_Dataset[],"8B")</f>
        <v>15</v>
      </c>
      <c r="W5">
        <f>COUNTIF(Student_Dataset[],"9A")</f>
        <v>24</v>
      </c>
      <c r="X5">
        <f>COUNTIF(Student_Dataset[],"9B")</f>
        <v>18</v>
      </c>
      <c r="Y5">
        <f>COUNTIF(Student_Dataset[],"10A")</f>
        <v>19</v>
      </c>
      <c r="Z5">
        <f>COUNTIF(Student_Dataset[],"10B")</f>
        <v>12</v>
      </c>
    </row>
    <row r="6" spans="1:26" x14ac:dyDescent="0.25">
      <c r="A6" t="s">
        <v>438</v>
      </c>
      <c r="B6" t="s">
        <v>303</v>
      </c>
      <c r="C6" t="s">
        <v>134</v>
      </c>
      <c r="D6">
        <v>77</v>
      </c>
      <c r="E6">
        <v>51</v>
      </c>
      <c r="F6">
        <v>68</v>
      </c>
      <c r="G6">
        <v>55</v>
      </c>
      <c r="H6">
        <v>91</v>
      </c>
      <c r="I6">
        <v>89</v>
      </c>
      <c r="J6">
        <f>SUM(Student_Dataset[[#This Row],[Mathematics]:[Computer Science]])</f>
        <v>431</v>
      </c>
      <c r="K6">
        <v>500</v>
      </c>
      <c r="L6">
        <f t="shared" si="0"/>
        <v>86.2</v>
      </c>
      <c r="M6" t="str">
        <f t="shared" si="1"/>
        <v>B Grade</v>
      </c>
    </row>
    <row r="7" spans="1:26" x14ac:dyDescent="0.25">
      <c r="A7" t="s">
        <v>430</v>
      </c>
      <c r="B7" t="s">
        <v>315</v>
      </c>
      <c r="C7" t="s">
        <v>134</v>
      </c>
      <c r="D7">
        <v>51</v>
      </c>
      <c r="E7">
        <v>88</v>
      </c>
      <c r="F7">
        <v>49</v>
      </c>
      <c r="G7">
        <v>43</v>
      </c>
      <c r="H7">
        <v>95</v>
      </c>
      <c r="I7">
        <v>92</v>
      </c>
      <c r="J7">
        <f>SUM(Student_Dataset[[#This Row],[Mathematics]:[Computer Science]])</f>
        <v>418</v>
      </c>
      <c r="K7">
        <v>500</v>
      </c>
      <c r="L7">
        <f t="shared" si="0"/>
        <v>83.6</v>
      </c>
      <c r="M7" t="str">
        <f t="shared" si="1"/>
        <v>B Grade</v>
      </c>
    </row>
    <row r="8" spans="1:26" x14ac:dyDescent="0.25">
      <c r="A8" t="s">
        <v>395</v>
      </c>
      <c r="B8" t="s">
        <v>250</v>
      </c>
      <c r="C8" t="s">
        <v>134</v>
      </c>
      <c r="D8">
        <v>48</v>
      </c>
      <c r="E8">
        <v>89</v>
      </c>
      <c r="F8">
        <v>63</v>
      </c>
      <c r="G8">
        <v>57</v>
      </c>
      <c r="H8">
        <v>94</v>
      </c>
      <c r="I8">
        <v>41</v>
      </c>
      <c r="J8">
        <f>SUM(Student_Dataset[[#This Row],[Mathematics]:[Computer Science]])</f>
        <v>392</v>
      </c>
      <c r="K8">
        <v>500</v>
      </c>
      <c r="L8">
        <f t="shared" si="0"/>
        <v>78.400000000000006</v>
      </c>
      <c r="M8" t="str">
        <f t="shared" si="1"/>
        <v>B Grade</v>
      </c>
    </row>
    <row r="9" spans="1:26" x14ac:dyDescent="0.25">
      <c r="A9" t="s">
        <v>375</v>
      </c>
      <c r="B9" t="s">
        <v>312</v>
      </c>
      <c r="C9" t="s">
        <v>134</v>
      </c>
      <c r="D9">
        <v>39</v>
      </c>
      <c r="E9">
        <v>73</v>
      </c>
      <c r="F9">
        <v>98</v>
      </c>
      <c r="G9">
        <v>49</v>
      </c>
      <c r="H9">
        <v>47</v>
      </c>
      <c r="I9">
        <v>65</v>
      </c>
      <c r="J9">
        <f>SUM(Student_Dataset[[#This Row],[Mathematics]:[Computer Science]])</f>
        <v>371</v>
      </c>
      <c r="K9">
        <v>500</v>
      </c>
      <c r="L9">
        <f t="shared" si="0"/>
        <v>74.2</v>
      </c>
      <c r="M9" t="str">
        <f t="shared" si="1"/>
        <v>C Grade</v>
      </c>
    </row>
    <row r="10" spans="1:26" x14ac:dyDescent="0.25">
      <c r="A10" t="s">
        <v>372</v>
      </c>
      <c r="B10" t="s">
        <v>321</v>
      </c>
      <c r="C10" t="s">
        <v>134</v>
      </c>
      <c r="D10">
        <v>64</v>
      </c>
      <c r="E10">
        <v>43</v>
      </c>
      <c r="F10">
        <v>39</v>
      </c>
      <c r="G10">
        <v>77</v>
      </c>
      <c r="H10">
        <v>44</v>
      </c>
      <c r="I10">
        <v>100</v>
      </c>
      <c r="J10">
        <f>SUM(Student_Dataset[[#This Row],[Mathematics]:[Computer Science]])</f>
        <v>367</v>
      </c>
      <c r="K10">
        <v>500</v>
      </c>
      <c r="L10">
        <f t="shared" si="0"/>
        <v>73.400000000000006</v>
      </c>
      <c r="M10" t="str">
        <f t="shared" si="1"/>
        <v>C Grade</v>
      </c>
    </row>
    <row r="11" spans="1:26" x14ac:dyDescent="0.25">
      <c r="A11" t="s">
        <v>361</v>
      </c>
      <c r="B11" t="s">
        <v>286</v>
      </c>
      <c r="C11" t="s">
        <v>134</v>
      </c>
      <c r="D11">
        <v>100</v>
      </c>
      <c r="E11">
        <v>45</v>
      </c>
      <c r="F11">
        <v>58</v>
      </c>
      <c r="G11">
        <v>43</v>
      </c>
      <c r="H11">
        <v>43</v>
      </c>
      <c r="I11">
        <v>65</v>
      </c>
      <c r="J11">
        <f>SUM(Student_Dataset[[#This Row],[Mathematics]:[Computer Science]])</f>
        <v>354</v>
      </c>
      <c r="K11">
        <v>500</v>
      </c>
      <c r="L11">
        <f t="shared" si="0"/>
        <v>70.8</v>
      </c>
      <c r="M11" t="str">
        <f t="shared" si="1"/>
        <v>C Grade</v>
      </c>
    </row>
    <row r="12" spans="1:26" x14ac:dyDescent="0.25">
      <c r="A12" t="s">
        <v>358</v>
      </c>
      <c r="B12" t="s">
        <v>335</v>
      </c>
      <c r="C12" t="s">
        <v>134</v>
      </c>
      <c r="D12">
        <v>35</v>
      </c>
      <c r="E12">
        <v>61</v>
      </c>
      <c r="F12">
        <v>73</v>
      </c>
      <c r="G12">
        <v>62</v>
      </c>
      <c r="H12">
        <v>52</v>
      </c>
      <c r="I12">
        <v>67</v>
      </c>
      <c r="J12">
        <f>SUM(Student_Dataset[[#This Row],[Mathematics]:[Computer Science]])</f>
        <v>350</v>
      </c>
      <c r="K12">
        <v>500</v>
      </c>
      <c r="L12">
        <f t="shared" si="0"/>
        <v>70</v>
      </c>
      <c r="M12" t="str">
        <f t="shared" si="1"/>
        <v>C Grade</v>
      </c>
    </row>
    <row r="13" spans="1:26" x14ac:dyDescent="0.25">
      <c r="A13" t="s">
        <v>356</v>
      </c>
      <c r="B13" t="s">
        <v>113</v>
      </c>
      <c r="C13" t="s">
        <v>134</v>
      </c>
      <c r="D13">
        <v>38</v>
      </c>
      <c r="E13">
        <v>46</v>
      </c>
      <c r="F13">
        <v>62</v>
      </c>
      <c r="G13">
        <v>64</v>
      </c>
      <c r="H13">
        <v>99</v>
      </c>
      <c r="I13">
        <v>38</v>
      </c>
      <c r="J13">
        <f>SUM(Student_Dataset[[#This Row],[Mathematics]:[Computer Science]])</f>
        <v>347</v>
      </c>
      <c r="K13">
        <v>500</v>
      </c>
      <c r="L13">
        <f t="shared" si="0"/>
        <v>69.399999999999991</v>
      </c>
      <c r="M13" t="str">
        <f t="shared" si="1"/>
        <v>C Grade</v>
      </c>
    </row>
    <row r="14" spans="1:26" x14ac:dyDescent="0.25">
      <c r="A14" t="s">
        <v>354</v>
      </c>
      <c r="B14" t="s">
        <v>106</v>
      </c>
      <c r="C14" t="s">
        <v>134</v>
      </c>
      <c r="D14">
        <v>70</v>
      </c>
      <c r="E14">
        <v>66</v>
      </c>
      <c r="F14">
        <v>63</v>
      </c>
      <c r="G14">
        <v>52</v>
      </c>
      <c r="H14">
        <v>48</v>
      </c>
      <c r="I14">
        <v>46</v>
      </c>
      <c r="J14">
        <f>SUM(Student_Dataset[[#This Row],[Mathematics]:[Computer Science]])</f>
        <v>345</v>
      </c>
      <c r="K14">
        <v>500</v>
      </c>
      <c r="L14">
        <f t="shared" si="0"/>
        <v>69</v>
      </c>
      <c r="M14" t="str">
        <f t="shared" si="1"/>
        <v>C Grade</v>
      </c>
    </row>
    <row r="15" spans="1:26" x14ac:dyDescent="0.25">
      <c r="A15" t="s">
        <v>353</v>
      </c>
      <c r="B15" t="s">
        <v>308</v>
      </c>
      <c r="C15" t="s">
        <v>134</v>
      </c>
      <c r="D15">
        <v>51</v>
      </c>
      <c r="E15">
        <v>36</v>
      </c>
      <c r="F15">
        <v>80</v>
      </c>
      <c r="G15">
        <v>65</v>
      </c>
      <c r="H15">
        <v>76</v>
      </c>
      <c r="I15">
        <v>37</v>
      </c>
      <c r="J15">
        <f>SUM(Student_Dataset[[#This Row],[Mathematics]:[Computer Science]])</f>
        <v>345</v>
      </c>
      <c r="K15">
        <v>500</v>
      </c>
      <c r="L15">
        <f t="shared" si="0"/>
        <v>69</v>
      </c>
      <c r="M15" t="str">
        <f t="shared" si="1"/>
        <v>C Grade</v>
      </c>
    </row>
    <row r="16" spans="1:26" x14ac:dyDescent="0.25">
      <c r="A16" t="s">
        <v>349</v>
      </c>
      <c r="B16" t="s">
        <v>296</v>
      </c>
      <c r="C16" t="s">
        <v>134</v>
      </c>
      <c r="D16">
        <v>58</v>
      </c>
      <c r="E16">
        <v>53</v>
      </c>
      <c r="F16">
        <v>86</v>
      </c>
      <c r="G16">
        <v>43</v>
      </c>
      <c r="H16">
        <v>53</v>
      </c>
      <c r="I16">
        <v>38</v>
      </c>
      <c r="J16">
        <f>SUM(Student_Dataset[[#This Row],[Mathematics]:[Computer Science]])</f>
        <v>331</v>
      </c>
      <c r="K16">
        <v>500</v>
      </c>
      <c r="L16">
        <f t="shared" si="0"/>
        <v>66.2</v>
      </c>
      <c r="M16" t="str">
        <f t="shared" si="1"/>
        <v>C Grade</v>
      </c>
    </row>
    <row r="17" spans="1:13" x14ac:dyDescent="0.25">
      <c r="A17" t="s">
        <v>341</v>
      </c>
      <c r="B17" t="s">
        <v>273</v>
      </c>
      <c r="C17" t="s">
        <v>134</v>
      </c>
      <c r="D17">
        <v>46</v>
      </c>
      <c r="E17">
        <v>64</v>
      </c>
      <c r="F17">
        <v>37</v>
      </c>
      <c r="G17">
        <v>69</v>
      </c>
      <c r="H17">
        <v>40</v>
      </c>
      <c r="I17">
        <v>57</v>
      </c>
      <c r="J17">
        <f>SUM(Student_Dataset[[#This Row],[Mathematics]:[Computer Science]])</f>
        <v>313</v>
      </c>
      <c r="K17">
        <v>500</v>
      </c>
      <c r="L17">
        <f t="shared" si="0"/>
        <v>62.6</v>
      </c>
      <c r="M17" t="str">
        <f t="shared" si="1"/>
        <v>C Grade</v>
      </c>
    </row>
    <row r="18" spans="1:13" x14ac:dyDescent="0.25">
      <c r="A18" t="s">
        <v>475</v>
      </c>
      <c r="B18" t="s">
        <v>324</v>
      </c>
      <c r="C18" t="s">
        <v>127</v>
      </c>
      <c r="D18">
        <v>90</v>
      </c>
      <c r="E18">
        <v>80</v>
      </c>
      <c r="F18">
        <v>89</v>
      </c>
      <c r="G18">
        <v>87</v>
      </c>
      <c r="H18">
        <v>94</v>
      </c>
      <c r="I18">
        <v>41</v>
      </c>
      <c r="J18">
        <f>SUM(Student_Dataset[[#This Row],[Mathematics]:[Computer Science]])</f>
        <v>481</v>
      </c>
      <c r="K18">
        <v>500</v>
      </c>
      <c r="L18">
        <f t="shared" si="0"/>
        <v>96.2</v>
      </c>
      <c r="M18" t="str">
        <f t="shared" si="1"/>
        <v>A Grade</v>
      </c>
    </row>
    <row r="19" spans="1:13" x14ac:dyDescent="0.25">
      <c r="A19" t="s">
        <v>485</v>
      </c>
      <c r="B19" t="s">
        <v>245</v>
      </c>
      <c r="C19" t="s">
        <v>127</v>
      </c>
      <c r="D19">
        <v>93</v>
      </c>
      <c r="E19">
        <v>88</v>
      </c>
      <c r="F19">
        <v>59</v>
      </c>
      <c r="G19">
        <v>84</v>
      </c>
      <c r="H19">
        <v>67</v>
      </c>
      <c r="I19">
        <v>85</v>
      </c>
      <c r="J19">
        <f>SUM(Student_Dataset[[#This Row],[Mathematics]:[Computer Science]])</f>
        <v>476</v>
      </c>
      <c r="K19">
        <v>500</v>
      </c>
      <c r="L19">
        <f t="shared" si="0"/>
        <v>95.199999999999989</v>
      </c>
      <c r="M19" t="str">
        <f t="shared" si="1"/>
        <v>A Grade</v>
      </c>
    </row>
    <row r="20" spans="1:13" x14ac:dyDescent="0.25">
      <c r="A20" t="s">
        <v>473</v>
      </c>
      <c r="B20" t="s">
        <v>67</v>
      </c>
      <c r="C20" t="s">
        <v>127</v>
      </c>
      <c r="D20">
        <v>62</v>
      </c>
      <c r="E20">
        <v>75</v>
      </c>
      <c r="F20">
        <v>62</v>
      </c>
      <c r="G20">
        <v>98</v>
      </c>
      <c r="H20">
        <v>85</v>
      </c>
      <c r="I20">
        <v>93</v>
      </c>
      <c r="J20">
        <f>SUM(Student_Dataset[[#This Row],[Mathematics]:[Computer Science]])</f>
        <v>475</v>
      </c>
      <c r="K20">
        <v>500</v>
      </c>
      <c r="L20">
        <f t="shared" si="0"/>
        <v>95</v>
      </c>
      <c r="M20" t="str">
        <f t="shared" si="1"/>
        <v>A Grade</v>
      </c>
    </row>
    <row r="21" spans="1:13" x14ac:dyDescent="0.25">
      <c r="A21" t="s">
        <v>470</v>
      </c>
      <c r="B21" t="s">
        <v>254</v>
      </c>
      <c r="C21" t="s">
        <v>127</v>
      </c>
      <c r="D21">
        <v>62</v>
      </c>
      <c r="E21">
        <v>90</v>
      </c>
      <c r="F21">
        <v>92</v>
      </c>
      <c r="G21">
        <v>64</v>
      </c>
      <c r="H21">
        <v>87</v>
      </c>
      <c r="I21">
        <v>78</v>
      </c>
      <c r="J21">
        <f>SUM(Student_Dataset[[#This Row],[Mathematics]:[Computer Science]])</f>
        <v>473</v>
      </c>
      <c r="K21">
        <v>500</v>
      </c>
      <c r="L21">
        <f t="shared" si="0"/>
        <v>94.6</v>
      </c>
      <c r="M21" t="str">
        <f t="shared" si="1"/>
        <v>A Grade</v>
      </c>
    </row>
    <row r="22" spans="1:13" x14ac:dyDescent="0.25">
      <c r="A22" t="s">
        <v>481</v>
      </c>
      <c r="B22" t="s">
        <v>229</v>
      </c>
      <c r="C22" t="s">
        <v>127</v>
      </c>
      <c r="D22">
        <v>93</v>
      </c>
      <c r="E22">
        <v>52</v>
      </c>
      <c r="F22">
        <v>94</v>
      </c>
      <c r="G22">
        <v>89</v>
      </c>
      <c r="H22">
        <v>65</v>
      </c>
      <c r="I22">
        <v>67</v>
      </c>
      <c r="J22">
        <f>SUM(Student_Dataset[[#This Row],[Mathematics]:[Computer Science]])</f>
        <v>460</v>
      </c>
      <c r="K22">
        <v>500</v>
      </c>
      <c r="L22">
        <f t="shared" si="0"/>
        <v>92</v>
      </c>
      <c r="M22" t="str">
        <f t="shared" si="1"/>
        <v>A Grade</v>
      </c>
    </row>
    <row r="23" spans="1:13" x14ac:dyDescent="0.25">
      <c r="A23" t="s">
        <v>455</v>
      </c>
      <c r="B23" t="s">
        <v>217</v>
      </c>
      <c r="C23" t="s">
        <v>127</v>
      </c>
      <c r="D23">
        <v>95</v>
      </c>
      <c r="E23">
        <v>68</v>
      </c>
      <c r="F23">
        <v>78</v>
      </c>
      <c r="G23">
        <v>85</v>
      </c>
      <c r="H23">
        <v>45</v>
      </c>
      <c r="I23">
        <v>77</v>
      </c>
      <c r="J23">
        <f>SUM(Student_Dataset[[#This Row],[Mathematics]:[Computer Science]])</f>
        <v>448</v>
      </c>
      <c r="K23">
        <v>500</v>
      </c>
      <c r="L23">
        <f t="shared" si="0"/>
        <v>89.600000000000009</v>
      </c>
      <c r="M23" t="str">
        <f t="shared" si="1"/>
        <v>B Grade</v>
      </c>
    </row>
    <row r="24" spans="1:13" x14ac:dyDescent="0.25">
      <c r="A24" t="s">
        <v>445</v>
      </c>
      <c r="B24" t="s">
        <v>314</v>
      </c>
      <c r="C24" t="s">
        <v>127</v>
      </c>
      <c r="D24">
        <v>55</v>
      </c>
      <c r="E24">
        <v>35</v>
      </c>
      <c r="F24">
        <v>87</v>
      </c>
      <c r="G24">
        <v>92</v>
      </c>
      <c r="H24">
        <v>95</v>
      </c>
      <c r="I24">
        <v>72</v>
      </c>
      <c r="J24">
        <f>SUM(Student_Dataset[[#This Row],[Mathematics]:[Computer Science]])</f>
        <v>436</v>
      </c>
      <c r="K24">
        <v>500</v>
      </c>
      <c r="L24">
        <f t="shared" si="0"/>
        <v>87.2</v>
      </c>
      <c r="M24" t="str">
        <f t="shared" si="1"/>
        <v>B Grade</v>
      </c>
    </row>
    <row r="25" spans="1:13" x14ac:dyDescent="0.25">
      <c r="A25" t="s">
        <v>424</v>
      </c>
      <c r="B25" t="s">
        <v>227</v>
      </c>
      <c r="C25" t="s">
        <v>127</v>
      </c>
      <c r="D25">
        <v>85</v>
      </c>
      <c r="E25">
        <v>36</v>
      </c>
      <c r="F25">
        <v>68</v>
      </c>
      <c r="G25">
        <v>50</v>
      </c>
      <c r="H25">
        <v>93</v>
      </c>
      <c r="I25">
        <v>82</v>
      </c>
      <c r="J25">
        <f>SUM(Student_Dataset[[#This Row],[Mathematics]:[Computer Science]])</f>
        <v>414</v>
      </c>
      <c r="K25">
        <v>500</v>
      </c>
      <c r="L25">
        <f t="shared" si="0"/>
        <v>82.8</v>
      </c>
      <c r="M25" t="str">
        <f t="shared" si="1"/>
        <v>B Grade</v>
      </c>
    </row>
    <row r="26" spans="1:13" x14ac:dyDescent="0.25">
      <c r="A26" t="s">
        <v>419</v>
      </c>
      <c r="B26" t="s">
        <v>100</v>
      </c>
      <c r="C26" t="s">
        <v>127</v>
      </c>
      <c r="D26">
        <v>51</v>
      </c>
      <c r="E26">
        <v>51</v>
      </c>
      <c r="F26">
        <v>95</v>
      </c>
      <c r="G26">
        <v>56</v>
      </c>
      <c r="H26">
        <v>68</v>
      </c>
      <c r="I26">
        <v>89</v>
      </c>
      <c r="J26">
        <f>SUM(Student_Dataset[[#This Row],[Mathematics]:[Computer Science]])</f>
        <v>410</v>
      </c>
      <c r="K26">
        <v>500</v>
      </c>
      <c r="L26">
        <f t="shared" si="0"/>
        <v>82</v>
      </c>
      <c r="M26" t="str">
        <f t="shared" si="1"/>
        <v>B Grade</v>
      </c>
    </row>
    <row r="27" spans="1:13" x14ac:dyDescent="0.25">
      <c r="A27" t="s">
        <v>414</v>
      </c>
      <c r="B27" t="s">
        <v>225</v>
      </c>
      <c r="C27" t="s">
        <v>127</v>
      </c>
      <c r="D27">
        <v>63</v>
      </c>
      <c r="E27">
        <v>49</v>
      </c>
      <c r="F27">
        <v>94</v>
      </c>
      <c r="G27">
        <v>50</v>
      </c>
      <c r="H27">
        <v>54</v>
      </c>
      <c r="I27">
        <v>98</v>
      </c>
      <c r="J27">
        <f>SUM(Student_Dataset[[#This Row],[Mathematics]:[Computer Science]])</f>
        <v>408</v>
      </c>
      <c r="K27">
        <v>500</v>
      </c>
      <c r="L27">
        <f t="shared" si="0"/>
        <v>81.599999999999994</v>
      </c>
      <c r="M27" t="str">
        <f t="shared" si="1"/>
        <v>B Grade</v>
      </c>
    </row>
    <row r="28" spans="1:13" x14ac:dyDescent="0.25">
      <c r="A28" t="s">
        <v>413</v>
      </c>
      <c r="B28" t="s">
        <v>302</v>
      </c>
      <c r="C28" t="s">
        <v>127</v>
      </c>
      <c r="D28">
        <v>91</v>
      </c>
      <c r="E28">
        <v>47</v>
      </c>
      <c r="F28">
        <v>93</v>
      </c>
      <c r="G28">
        <v>36</v>
      </c>
      <c r="H28">
        <v>53</v>
      </c>
      <c r="I28">
        <v>87</v>
      </c>
      <c r="J28">
        <f>SUM(Student_Dataset[[#This Row],[Mathematics]:[Computer Science]])</f>
        <v>407</v>
      </c>
      <c r="K28">
        <v>500</v>
      </c>
      <c r="L28">
        <f t="shared" si="0"/>
        <v>81.399999999999991</v>
      </c>
      <c r="M28" t="str">
        <f t="shared" si="1"/>
        <v>B Grade</v>
      </c>
    </row>
    <row r="29" spans="1:13" x14ac:dyDescent="0.25">
      <c r="A29" t="s">
        <v>409</v>
      </c>
      <c r="B29" t="s">
        <v>258</v>
      </c>
      <c r="C29" t="s">
        <v>127</v>
      </c>
      <c r="D29">
        <v>72</v>
      </c>
      <c r="E29">
        <v>76</v>
      </c>
      <c r="F29">
        <v>88</v>
      </c>
      <c r="G29">
        <v>57</v>
      </c>
      <c r="H29">
        <v>60</v>
      </c>
      <c r="I29">
        <v>51</v>
      </c>
      <c r="J29">
        <f>SUM(Student_Dataset[[#This Row],[Mathematics]:[Computer Science]])</f>
        <v>404</v>
      </c>
      <c r="K29">
        <v>500</v>
      </c>
      <c r="L29">
        <f t="shared" si="0"/>
        <v>80.800000000000011</v>
      </c>
      <c r="M29" t="str">
        <f t="shared" si="1"/>
        <v>B Grade</v>
      </c>
    </row>
    <row r="30" spans="1:13" x14ac:dyDescent="0.25">
      <c r="A30" t="s">
        <v>384</v>
      </c>
      <c r="B30" t="s">
        <v>323</v>
      </c>
      <c r="C30" t="s">
        <v>127</v>
      </c>
      <c r="D30">
        <v>36</v>
      </c>
      <c r="E30">
        <v>93</v>
      </c>
      <c r="F30">
        <v>47</v>
      </c>
      <c r="G30">
        <v>44</v>
      </c>
      <c r="H30">
        <v>62</v>
      </c>
      <c r="I30">
        <v>99</v>
      </c>
      <c r="J30">
        <f>SUM(Student_Dataset[[#This Row],[Mathematics]:[Computer Science]])</f>
        <v>381</v>
      </c>
      <c r="K30">
        <v>500</v>
      </c>
      <c r="L30">
        <f t="shared" si="0"/>
        <v>76.2</v>
      </c>
      <c r="M30" t="str">
        <f t="shared" si="1"/>
        <v>B Grade</v>
      </c>
    </row>
    <row r="31" spans="1:13" x14ac:dyDescent="0.25">
      <c r="A31" t="s">
        <v>383</v>
      </c>
      <c r="B31" t="s">
        <v>292</v>
      </c>
      <c r="C31" t="s">
        <v>127</v>
      </c>
      <c r="D31">
        <v>42</v>
      </c>
      <c r="E31">
        <v>86</v>
      </c>
      <c r="F31">
        <v>78</v>
      </c>
      <c r="G31">
        <v>48</v>
      </c>
      <c r="H31">
        <v>66</v>
      </c>
      <c r="I31">
        <v>59</v>
      </c>
      <c r="J31">
        <f>SUM(Student_Dataset[[#This Row],[Mathematics]:[Computer Science]])</f>
        <v>379</v>
      </c>
      <c r="K31">
        <v>500</v>
      </c>
      <c r="L31">
        <f t="shared" si="0"/>
        <v>75.8</v>
      </c>
      <c r="M31" t="str">
        <f t="shared" si="1"/>
        <v>B Grade</v>
      </c>
    </row>
    <row r="32" spans="1:13" x14ac:dyDescent="0.25">
      <c r="A32" t="s">
        <v>380</v>
      </c>
      <c r="B32" t="s">
        <v>260</v>
      </c>
      <c r="C32" t="s">
        <v>127</v>
      </c>
      <c r="D32">
        <v>77</v>
      </c>
      <c r="E32">
        <v>75</v>
      </c>
      <c r="F32">
        <v>50</v>
      </c>
      <c r="G32">
        <v>73</v>
      </c>
      <c r="H32">
        <v>99</v>
      </c>
      <c r="J32">
        <f>SUM(Student_Dataset[[#This Row],[Mathematics]:[Computer Science]])</f>
        <v>374</v>
      </c>
      <c r="K32">
        <v>500</v>
      </c>
      <c r="L32">
        <f t="shared" si="0"/>
        <v>74.8</v>
      </c>
      <c r="M32" t="str">
        <f t="shared" si="1"/>
        <v>C Grade</v>
      </c>
    </row>
    <row r="33" spans="1:13" x14ac:dyDescent="0.25">
      <c r="A33" t="s">
        <v>378</v>
      </c>
      <c r="B33" t="s">
        <v>272</v>
      </c>
      <c r="C33" t="s">
        <v>127</v>
      </c>
      <c r="D33">
        <v>55</v>
      </c>
      <c r="E33">
        <v>74</v>
      </c>
      <c r="F33">
        <v>48</v>
      </c>
      <c r="G33">
        <v>38</v>
      </c>
      <c r="H33">
        <v>74</v>
      </c>
      <c r="I33">
        <v>83</v>
      </c>
      <c r="J33">
        <f>SUM(Student_Dataset[[#This Row],[Mathematics]:[Computer Science]])</f>
        <v>372</v>
      </c>
      <c r="K33">
        <v>500</v>
      </c>
      <c r="L33">
        <f t="shared" si="0"/>
        <v>74.400000000000006</v>
      </c>
      <c r="M33" t="str">
        <f t="shared" si="1"/>
        <v>C Grade</v>
      </c>
    </row>
    <row r="34" spans="1:13" x14ac:dyDescent="0.25">
      <c r="A34" t="s">
        <v>368</v>
      </c>
      <c r="B34" t="s">
        <v>226</v>
      </c>
      <c r="C34" t="s">
        <v>127</v>
      </c>
      <c r="D34">
        <v>44</v>
      </c>
      <c r="E34">
        <v>54</v>
      </c>
      <c r="F34">
        <v>39</v>
      </c>
      <c r="G34">
        <v>82</v>
      </c>
      <c r="H34">
        <v>53</v>
      </c>
      <c r="I34">
        <v>90</v>
      </c>
      <c r="J34">
        <f>SUM(Student_Dataset[[#This Row],[Mathematics]:[Computer Science]])</f>
        <v>362</v>
      </c>
      <c r="K34">
        <v>500</v>
      </c>
      <c r="L34">
        <f t="shared" ref="L34:L65" si="2">(J34/K34)*100</f>
        <v>72.399999999999991</v>
      </c>
      <c r="M34" t="str">
        <f t="shared" ref="M34:M65" si="3">IF(L34&gt;=90,"A Grade",IF(L34&gt;=75,"B Grade",IF(L34&gt;=60,"C Grade",IF(L34&gt;=50,"D Grade","Fail"))))</f>
        <v>C Grade</v>
      </c>
    </row>
    <row r="35" spans="1:13" x14ac:dyDescent="0.25">
      <c r="A35" t="s">
        <v>362</v>
      </c>
      <c r="B35" t="s">
        <v>241</v>
      </c>
      <c r="C35" t="s">
        <v>127</v>
      </c>
      <c r="D35">
        <v>61</v>
      </c>
      <c r="E35">
        <v>62</v>
      </c>
      <c r="F35">
        <v>68</v>
      </c>
      <c r="G35">
        <v>45</v>
      </c>
      <c r="H35">
        <v>55</v>
      </c>
      <c r="I35">
        <v>65</v>
      </c>
      <c r="J35">
        <f>SUM(Student_Dataset[[#This Row],[Mathematics]:[Computer Science]])</f>
        <v>356</v>
      </c>
      <c r="K35">
        <v>500</v>
      </c>
      <c r="L35">
        <f t="shared" si="2"/>
        <v>71.2</v>
      </c>
      <c r="M35" t="str">
        <f t="shared" si="3"/>
        <v>C Grade</v>
      </c>
    </row>
    <row r="36" spans="1:13" x14ac:dyDescent="0.25">
      <c r="A36" t="s">
        <v>339</v>
      </c>
      <c r="B36" t="s">
        <v>285</v>
      </c>
      <c r="C36" t="s">
        <v>127</v>
      </c>
      <c r="D36">
        <v>40</v>
      </c>
      <c r="E36">
        <v>38</v>
      </c>
      <c r="F36">
        <v>66</v>
      </c>
      <c r="G36">
        <v>60</v>
      </c>
      <c r="H36">
        <v>37</v>
      </c>
      <c r="I36">
        <v>54</v>
      </c>
      <c r="J36">
        <f>SUM(Student_Dataset[[#This Row],[Mathematics]:[Computer Science]])</f>
        <v>295</v>
      </c>
      <c r="K36">
        <v>500</v>
      </c>
      <c r="L36">
        <f t="shared" si="2"/>
        <v>59</v>
      </c>
      <c r="M36" t="str">
        <f t="shared" si="3"/>
        <v>D Grade</v>
      </c>
    </row>
    <row r="37" spans="1:13" x14ac:dyDescent="0.25">
      <c r="A37" t="s">
        <v>457</v>
      </c>
      <c r="B37" t="s">
        <v>109</v>
      </c>
      <c r="C37" t="s">
        <v>129</v>
      </c>
      <c r="D37">
        <v>66</v>
      </c>
      <c r="E37">
        <v>68</v>
      </c>
      <c r="F37">
        <v>89</v>
      </c>
      <c r="G37">
        <v>86</v>
      </c>
      <c r="H37">
        <v>81</v>
      </c>
      <c r="I37">
        <v>63</v>
      </c>
      <c r="J37">
        <f>SUM(Student_Dataset[[#This Row],[Mathematics]:[Computer Science]])</f>
        <v>453</v>
      </c>
      <c r="K37">
        <v>500</v>
      </c>
      <c r="L37">
        <f t="shared" si="2"/>
        <v>90.600000000000009</v>
      </c>
      <c r="M37" t="str">
        <f t="shared" si="3"/>
        <v>A Grade</v>
      </c>
    </row>
    <row r="38" spans="1:13" x14ac:dyDescent="0.25">
      <c r="A38" t="s">
        <v>410</v>
      </c>
      <c r="B38" t="s">
        <v>281</v>
      </c>
      <c r="C38" t="s">
        <v>129</v>
      </c>
      <c r="D38">
        <v>45</v>
      </c>
      <c r="E38">
        <v>71</v>
      </c>
      <c r="F38">
        <v>100</v>
      </c>
      <c r="G38">
        <v>77</v>
      </c>
      <c r="H38">
        <v>46</v>
      </c>
      <c r="I38">
        <v>65</v>
      </c>
      <c r="J38">
        <f>SUM(Student_Dataset[[#This Row],[Mathematics]:[Computer Science]])</f>
        <v>404</v>
      </c>
      <c r="K38">
        <v>500</v>
      </c>
      <c r="L38">
        <f t="shared" si="2"/>
        <v>80.800000000000011</v>
      </c>
      <c r="M38" t="str">
        <f t="shared" si="3"/>
        <v>B Grade</v>
      </c>
    </row>
    <row r="39" spans="1:13" x14ac:dyDescent="0.25">
      <c r="A39" t="s">
        <v>404</v>
      </c>
      <c r="B39" t="s">
        <v>291</v>
      </c>
      <c r="C39" t="s">
        <v>129</v>
      </c>
      <c r="D39">
        <v>73</v>
      </c>
      <c r="E39">
        <v>86</v>
      </c>
      <c r="F39">
        <v>35</v>
      </c>
      <c r="G39">
        <v>73</v>
      </c>
      <c r="H39">
        <v>71</v>
      </c>
      <c r="I39">
        <v>61</v>
      </c>
      <c r="J39">
        <f>SUM(Student_Dataset[[#This Row],[Mathematics]:[Computer Science]])</f>
        <v>399</v>
      </c>
      <c r="K39">
        <v>500</v>
      </c>
      <c r="L39">
        <f t="shared" si="2"/>
        <v>79.800000000000011</v>
      </c>
      <c r="M39" t="str">
        <f t="shared" si="3"/>
        <v>B Grade</v>
      </c>
    </row>
    <row r="40" spans="1:13" x14ac:dyDescent="0.25">
      <c r="A40" t="s">
        <v>386</v>
      </c>
      <c r="B40" t="s">
        <v>104</v>
      </c>
      <c r="C40" t="s">
        <v>129</v>
      </c>
      <c r="D40">
        <v>82</v>
      </c>
      <c r="E40">
        <v>55</v>
      </c>
      <c r="F40">
        <v>35</v>
      </c>
      <c r="G40">
        <v>76</v>
      </c>
      <c r="H40">
        <v>97</v>
      </c>
      <c r="I40">
        <v>37</v>
      </c>
      <c r="J40">
        <f>SUM(Student_Dataset[[#This Row],[Mathematics]:[Computer Science]])</f>
        <v>382</v>
      </c>
      <c r="K40">
        <v>500</v>
      </c>
      <c r="L40">
        <f t="shared" si="2"/>
        <v>76.400000000000006</v>
      </c>
      <c r="M40" t="str">
        <f t="shared" si="3"/>
        <v>B Grade</v>
      </c>
    </row>
    <row r="41" spans="1:13" x14ac:dyDescent="0.25">
      <c r="A41" t="s">
        <v>377</v>
      </c>
      <c r="B41" t="s">
        <v>244</v>
      </c>
      <c r="C41" t="s">
        <v>129</v>
      </c>
      <c r="D41">
        <v>47</v>
      </c>
      <c r="E41">
        <v>40</v>
      </c>
      <c r="F41">
        <v>74</v>
      </c>
      <c r="G41">
        <v>91</v>
      </c>
      <c r="H41">
        <v>39</v>
      </c>
      <c r="I41">
        <v>81</v>
      </c>
      <c r="J41">
        <f>SUM(Student_Dataset[[#This Row],[Mathematics]:[Computer Science]])</f>
        <v>372</v>
      </c>
      <c r="K41">
        <v>500</v>
      </c>
      <c r="L41">
        <f t="shared" si="2"/>
        <v>74.400000000000006</v>
      </c>
      <c r="M41" t="str">
        <f t="shared" si="3"/>
        <v>C Grade</v>
      </c>
    </row>
    <row r="42" spans="1:13" x14ac:dyDescent="0.25">
      <c r="A42" t="s">
        <v>376</v>
      </c>
      <c r="B42" t="s">
        <v>234</v>
      </c>
      <c r="C42" t="s">
        <v>129</v>
      </c>
      <c r="D42">
        <v>70</v>
      </c>
      <c r="E42">
        <v>40</v>
      </c>
      <c r="F42">
        <v>41</v>
      </c>
      <c r="G42">
        <v>72</v>
      </c>
      <c r="H42">
        <v>51</v>
      </c>
      <c r="I42">
        <v>97</v>
      </c>
      <c r="J42">
        <f>SUM(Student_Dataset[[#This Row],[Mathematics]:[Computer Science]])</f>
        <v>371</v>
      </c>
      <c r="K42">
        <v>500</v>
      </c>
      <c r="L42">
        <f t="shared" si="2"/>
        <v>74.2</v>
      </c>
      <c r="M42" t="str">
        <f t="shared" si="3"/>
        <v>C Grade</v>
      </c>
    </row>
    <row r="43" spans="1:13" x14ac:dyDescent="0.25">
      <c r="A43" t="s">
        <v>374</v>
      </c>
      <c r="B43" t="s">
        <v>260</v>
      </c>
      <c r="C43" t="s">
        <v>129</v>
      </c>
      <c r="D43">
        <v>66</v>
      </c>
      <c r="E43">
        <v>87</v>
      </c>
      <c r="F43">
        <v>58</v>
      </c>
      <c r="G43">
        <v>56</v>
      </c>
      <c r="H43">
        <v>57</v>
      </c>
      <c r="I43">
        <v>45</v>
      </c>
      <c r="J43">
        <f>SUM(Student_Dataset[[#This Row],[Mathematics]:[Computer Science]])</f>
        <v>369</v>
      </c>
      <c r="K43">
        <v>500</v>
      </c>
      <c r="L43">
        <f t="shared" si="2"/>
        <v>73.8</v>
      </c>
      <c r="M43" t="str">
        <f t="shared" si="3"/>
        <v>C Grade</v>
      </c>
    </row>
    <row r="44" spans="1:13" x14ac:dyDescent="0.25">
      <c r="A44" t="s">
        <v>474</v>
      </c>
      <c r="B44" t="s">
        <v>317</v>
      </c>
      <c r="C44" t="s">
        <v>133</v>
      </c>
      <c r="D44">
        <v>43</v>
      </c>
      <c r="E44">
        <v>88</v>
      </c>
      <c r="F44">
        <v>87</v>
      </c>
      <c r="G44">
        <v>77</v>
      </c>
      <c r="H44">
        <v>94</v>
      </c>
      <c r="I44">
        <v>88</v>
      </c>
      <c r="J44">
        <f>SUM(Student_Dataset[[#This Row],[Mathematics]:[Computer Science]])</f>
        <v>477</v>
      </c>
      <c r="K44">
        <v>500</v>
      </c>
      <c r="L44">
        <f t="shared" si="2"/>
        <v>95.399999999999991</v>
      </c>
      <c r="M44" t="str">
        <f t="shared" si="3"/>
        <v>A Grade</v>
      </c>
    </row>
    <row r="45" spans="1:13" x14ac:dyDescent="0.25">
      <c r="A45" t="s">
        <v>437</v>
      </c>
      <c r="B45" t="s">
        <v>97</v>
      </c>
      <c r="C45" t="s">
        <v>133</v>
      </c>
      <c r="D45">
        <v>47</v>
      </c>
      <c r="E45">
        <v>83</v>
      </c>
      <c r="F45">
        <v>70</v>
      </c>
      <c r="G45">
        <v>93</v>
      </c>
      <c r="H45">
        <v>81</v>
      </c>
      <c r="I45">
        <v>55</v>
      </c>
      <c r="J45">
        <f>SUM(Student_Dataset[[#This Row],[Mathematics]:[Computer Science]])</f>
        <v>429</v>
      </c>
      <c r="K45">
        <v>500</v>
      </c>
      <c r="L45">
        <f t="shared" si="2"/>
        <v>85.8</v>
      </c>
      <c r="M45" t="str">
        <f t="shared" si="3"/>
        <v>B Grade</v>
      </c>
    </row>
    <row r="46" spans="1:13" x14ac:dyDescent="0.25">
      <c r="A46" t="s">
        <v>433</v>
      </c>
      <c r="B46" t="s">
        <v>284</v>
      </c>
      <c r="C46" t="s">
        <v>133</v>
      </c>
      <c r="D46">
        <v>86</v>
      </c>
      <c r="E46">
        <v>77</v>
      </c>
      <c r="F46">
        <v>70</v>
      </c>
      <c r="G46">
        <v>43</v>
      </c>
      <c r="H46">
        <v>70</v>
      </c>
      <c r="I46">
        <v>79</v>
      </c>
      <c r="J46">
        <f>SUM(Student_Dataset[[#This Row],[Mathematics]:[Computer Science]])</f>
        <v>425</v>
      </c>
      <c r="K46">
        <v>500</v>
      </c>
      <c r="L46">
        <f t="shared" si="2"/>
        <v>85</v>
      </c>
      <c r="M46" t="str">
        <f t="shared" si="3"/>
        <v>B Grade</v>
      </c>
    </row>
    <row r="47" spans="1:13" x14ac:dyDescent="0.25">
      <c r="A47" t="s">
        <v>388</v>
      </c>
      <c r="B47" t="s">
        <v>103</v>
      </c>
      <c r="C47" t="s">
        <v>133</v>
      </c>
      <c r="D47">
        <v>69</v>
      </c>
      <c r="E47">
        <v>44</v>
      </c>
      <c r="F47">
        <v>56</v>
      </c>
      <c r="G47">
        <v>66</v>
      </c>
      <c r="H47">
        <v>55</v>
      </c>
      <c r="I47">
        <v>94</v>
      </c>
      <c r="J47">
        <f>SUM(Student_Dataset[[#This Row],[Mathematics]:[Computer Science]])</f>
        <v>384</v>
      </c>
      <c r="K47">
        <v>500</v>
      </c>
      <c r="L47">
        <f t="shared" si="2"/>
        <v>76.8</v>
      </c>
      <c r="M47" t="str">
        <f t="shared" si="3"/>
        <v>B Grade</v>
      </c>
    </row>
    <row r="48" spans="1:13" x14ac:dyDescent="0.25">
      <c r="A48" t="s">
        <v>387</v>
      </c>
      <c r="B48" t="s">
        <v>257</v>
      </c>
      <c r="C48" t="s">
        <v>133</v>
      </c>
      <c r="D48">
        <v>72</v>
      </c>
      <c r="E48">
        <v>64</v>
      </c>
      <c r="F48">
        <v>81</v>
      </c>
      <c r="G48">
        <v>57</v>
      </c>
      <c r="H48">
        <v>73</v>
      </c>
      <c r="I48">
        <v>36</v>
      </c>
      <c r="J48">
        <f>SUM(Student_Dataset[[#This Row],[Mathematics]:[Computer Science]])</f>
        <v>383</v>
      </c>
      <c r="K48">
        <v>500</v>
      </c>
      <c r="L48">
        <f t="shared" si="2"/>
        <v>76.599999999999994</v>
      </c>
      <c r="M48" t="str">
        <f t="shared" si="3"/>
        <v>B Grade</v>
      </c>
    </row>
    <row r="49" spans="1:13" x14ac:dyDescent="0.25">
      <c r="A49" t="s">
        <v>360</v>
      </c>
      <c r="B49" t="s">
        <v>290</v>
      </c>
      <c r="C49" t="s">
        <v>133</v>
      </c>
      <c r="D49">
        <v>60</v>
      </c>
      <c r="E49">
        <v>53</v>
      </c>
      <c r="F49">
        <v>38</v>
      </c>
      <c r="G49">
        <v>40</v>
      </c>
      <c r="H49">
        <v>66</v>
      </c>
      <c r="I49">
        <v>95</v>
      </c>
      <c r="J49">
        <f>SUM(Student_Dataset[[#This Row],[Mathematics]:[Computer Science]])</f>
        <v>352</v>
      </c>
      <c r="K49">
        <v>500</v>
      </c>
      <c r="L49">
        <f t="shared" si="2"/>
        <v>70.399999999999991</v>
      </c>
      <c r="M49" t="str">
        <f t="shared" si="3"/>
        <v>C Grade</v>
      </c>
    </row>
    <row r="50" spans="1:13" x14ac:dyDescent="0.25">
      <c r="A50" t="s">
        <v>345</v>
      </c>
      <c r="B50" t="s">
        <v>334</v>
      </c>
      <c r="C50" t="s">
        <v>133</v>
      </c>
      <c r="D50">
        <v>44</v>
      </c>
      <c r="E50">
        <v>66</v>
      </c>
      <c r="F50">
        <v>48</v>
      </c>
      <c r="G50">
        <v>73</v>
      </c>
      <c r="H50">
        <v>50</v>
      </c>
      <c r="I50">
        <v>40</v>
      </c>
      <c r="J50">
        <f>SUM(Student_Dataset[[#This Row],[Mathematics]:[Computer Science]])</f>
        <v>321</v>
      </c>
      <c r="K50">
        <v>500</v>
      </c>
      <c r="L50">
        <f t="shared" si="2"/>
        <v>64.2</v>
      </c>
      <c r="M50" t="str">
        <f t="shared" si="3"/>
        <v>C Grade</v>
      </c>
    </row>
    <row r="51" spans="1:13" x14ac:dyDescent="0.25">
      <c r="A51" t="s">
        <v>344</v>
      </c>
      <c r="B51" t="s">
        <v>313</v>
      </c>
      <c r="C51" t="s">
        <v>133</v>
      </c>
      <c r="D51">
        <v>43</v>
      </c>
      <c r="E51">
        <v>78</v>
      </c>
      <c r="F51">
        <v>37</v>
      </c>
      <c r="G51">
        <v>64</v>
      </c>
      <c r="H51">
        <v>63</v>
      </c>
      <c r="I51">
        <v>35</v>
      </c>
      <c r="J51">
        <f>SUM(Student_Dataset[[#This Row],[Mathematics]:[Computer Science]])</f>
        <v>320</v>
      </c>
      <c r="K51">
        <v>500</v>
      </c>
      <c r="L51">
        <f t="shared" si="2"/>
        <v>64</v>
      </c>
      <c r="M51" t="str">
        <f t="shared" si="3"/>
        <v>C Grade</v>
      </c>
    </row>
    <row r="52" spans="1:13" x14ac:dyDescent="0.25">
      <c r="A52" t="s">
        <v>480</v>
      </c>
      <c r="B52" t="s">
        <v>318</v>
      </c>
      <c r="C52" t="s">
        <v>130</v>
      </c>
      <c r="D52">
        <v>82</v>
      </c>
      <c r="E52">
        <v>95</v>
      </c>
      <c r="F52">
        <v>79</v>
      </c>
      <c r="G52">
        <v>76</v>
      </c>
      <c r="H52">
        <v>67</v>
      </c>
      <c r="I52">
        <v>87</v>
      </c>
      <c r="J52">
        <f>SUM(Student_Dataset[[#This Row],[Mathematics]:[Computer Science]])</f>
        <v>486</v>
      </c>
      <c r="K52">
        <v>500</v>
      </c>
      <c r="L52">
        <f t="shared" si="2"/>
        <v>97.2</v>
      </c>
      <c r="M52" t="str">
        <f t="shared" si="3"/>
        <v>A Grade</v>
      </c>
    </row>
    <row r="53" spans="1:13" x14ac:dyDescent="0.25">
      <c r="A53" t="s">
        <v>472</v>
      </c>
      <c r="B53" t="s">
        <v>101</v>
      </c>
      <c r="C53" t="s">
        <v>130</v>
      </c>
      <c r="D53">
        <v>99</v>
      </c>
      <c r="E53">
        <v>57</v>
      </c>
      <c r="F53">
        <v>99</v>
      </c>
      <c r="G53">
        <v>48</v>
      </c>
      <c r="H53">
        <v>73</v>
      </c>
      <c r="I53">
        <v>99</v>
      </c>
      <c r="J53">
        <f>SUM(Student_Dataset[[#This Row],[Mathematics]:[Computer Science]])</f>
        <v>475</v>
      </c>
      <c r="K53">
        <v>500</v>
      </c>
      <c r="L53">
        <f t="shared" si="2"/>
        <v>95</v>
      </c>
      <c r="M53" t="str">
        <f t="shared" si="3"/>
        <v>A Grade</v>
      </c>
    </row>
    <row r="54" spans="1:13" x14ac:dyDescent="0.25">
      <c r="A54" t="s">
        <v>465</v>
      </c>
      <c r="B54" t="s">
        <v>231</v>
      </c>
      <c r="C54" t="s">
        <v>130</v>
      </c>
      <c r="D54">
        <v>71</v>
      </c>
      <c r="E54">
        <v>91</v>
      </c>
      <c r="F54">
        <v>50</v>
      </c>
      <c r="G54">
        <v>94</v>
      </c>
      <c r="H54">
        <v>73</v>
      </c>
      <c r="I54">
        <v>86</v>
      </c>
      <c r="J54">
        <f>SUM(Student_Dataset[[#This Row],[Mathematics]:[Computer Science]])</f>
        <v>465</v>
      </c>
      <c r="K54">
        <v>500</v>
      </c>
      <c r="L54">
        <f t="shared" si="2"/>
        <v>93</v>
      </c>
      <c r="M54" t="str">
        <f t="shared" si="3"/>
        <v>A Grade</v>
      </c>
    </row>
    <row r="55" spans="1:13" x14ac:dyDescent="0.25">
      <c r="A55" t="s">
        <v>448</v>
      </c>
      <c r="B55" t="s">
        <v>292</v>
      </c>
      <c r="C55" t="s">
        <v>130</v>
      </c>
      <c r="D55">
        <v>99</v>
      </c>
      <c r="E55">
        <v>97</v>
      </c>
      <c r="F55">
        <v>67</v>
      </c>
      <c r="G55">
        <v>41</v>
      </c>
      <c r="H55">
        <v>46</v>
      </c>
      <c r="I55">
        <v>89</v>
      </c>
      <c r="J55">
        <f>SUM(Student_Dataset[[#This Row],[Mathematics]:[Computer Science]])</f>
        <v>439</v>
      </c>
      <c r="K55">
        <v>500</v>
      </c>
      <c r="L55">
        <f t="shared" si="2"/>
        <v>87.8</v>
      </c>
      <c r="M55" t="str">
        <f t="shared" si="3"/>
        <v>B Grade</v>
      </c>
    </row>
    <row r="56" spans="1:13" x14ac:dyDescent="0.25">
      <c r="A56" t="s">
        <v>417</v>
      </c>
      <c r="B56" t="s">
        <v>291</v>
      </c>
      <c r="C56" t="s">
        <v>130</v>
      </c>
      <c r="D56">
        <v>83</v>
      </c>
      <c r="E56">
        <v>82</v>
      </c>
      <c r="F56">
        <v>48</v>
      </c>
      <c r="G56">
        <v>64</v>
      </c>
      <c r="H56">
        <v>95</v>
      </c>
      <c r="I56">
        <v>38</v>
      </c>
      <c r="J56">
        <f>SUM(Student_Dataset[[#This Row],[Mathematics]:[Computer Science]])</f>
        <v>410</v>
      </c>
      <c r="K56">
        <v>500</v>
      </c>
      <c r="L56">
        <f t="shared" si="2"/>
        <v>82</v>
      </c>
      <c r="M56" t="str">
        <f t="shared" si="3"/>
        <v>B Grade</v>
      </c>
    </row>
    <row r="57" spans="1:13" x14ac:dyDescent="0.25">
      <c r="A57" t="s">
        <v>405</v>
      </c>
      <c r="B57" t="s">
        <v>327</v>
      </c>
      <c r="C57" t="s">
        <v>130</v>
      </c>
      <c r="D57">
        <v>71</v>
      </c>
      <c r="E57">
        <v>93</v>
      </c>
      <c r="F57">
        <v>44</v>
      </c>
      <c r="G57">
        <v>64</v>
      </c>
      <c r="H57">
        <v>68</v>
      </c>
      <c r="I57">
        <v>60</v>
      </c>
      <c r="J57">
        <f>SUM(Student_Dataset[[#This Row],[Mathematics]:[Computer Science]])</f>
        <v>400</v>
      </c>
      <c r="K57">
        <v>500</v>
      </c>
      <c r="L57">
        <f t="shared" si="2"/>
        <v>80</v>
      </c>
      <c r="M57" t="str">
        <f t="shared" si="3"/>
        <v>B Grade</v>
      </c>
    </row>
    <row r="58" spans="1:13" x14ac:dyDescent="0.25">
      <c r="A58" t="s">
        <v>393</v>
      </c>
      <c r="B58" t="s">
        <v>316</v>
      </c>
      <c r="C58" t="s">
        <v>130</v>
      </c>
      <c r="D58">
        <v>74</v>
      </c>
      <c r="E58">
        <v>67</v>
      </c>
      <c r="F58">
        <v>64</v>
      </c>
      <c r="G58">
        <v>50</v>
      </c>
      <c r="H58">
        <v>59</v>
      </c>
      <c r="I58">
        <v>75</v>
      </c>
      <c r="J58">
        <f>SUM(Student_Dataset[[#This Row],[Mathematics]:[Computer Science]])</f>
        <v>389</v>
      </c>
      <c r="K58">
        <v>500</v>
      </c>
      <c r="L58">
        <f t="shared" si="2"/>
        <v>77.8</v>
      </c>
      <c r="M58" t="str">
        <f t="shared" si="3"/>
        <v>B Grade</v>
      </c>
    </row>
    <row r="59" spans="1:13" x14ac:dyDescent="0.25">
      <c r="A59" t="s">
        <v>389</v>
      </c>
      <c r="B59" t="s">
        <v>274</v>
      </c>
      <c r="C59" t="s">
        <v>130</v>
      </c>
      <c r="D59">
        <v>64</v>
      </c>
      <c r="E59">
        <v>46</v>
      </c>
      <c r="F59">
        <v>90</v>
      </c>
      <c r="G59">
        <v>47</v>
      </c>
      <c r="H59">
        <v>47</v>
      </c>
      <c r="I59">
        <v>91</v>
      </c>
      <c r="J59">
        <f>SUM(Student_Dataset[[#This Row],[Mathematics]:[Computer Science]])</f>
        <v>385</v>
      </c>
      <c r="K59">
        <v>500</v>
      </c>
      <c r="L59">
        <f t="shared" si="2"/>
        <v>77</v>
      </c>
      <c r="M59" t="str">
        <f t="shared" si="3"/>
        <v>B Grade</v>
      </c>
    </row>
    <row r="60" spans="1:13" x14ac:dyDescent="0.25">
      <c r="A60" t="s">
        <v>382</v>
      </c>
      <c r="B60" t="s">
        <v>279</v>
      </c>
      <c r="C60" t="s">
        <v>130</v>
      </c>
      <c r="D60">
        <v>81</v>
      </c>
      <c r="E60">
        <v>40</v>
      </c>
      <c r="F60">
        <v>80</v>
      </c>
      <c r="G60">
        <v>61</v>
      </c>
      <c r="H60">
        <v>66</v>
      </c>
      <c r="I60">
        <v>48</v>
      </c>
      <c r="J60">
        <f>SUM(Student_Dataset[[#This Row],[Mathematics]:[Computer Science]])</f>
        <v>376</v>
      </c>
      <c r="K60">
        <v>500</v>
      </c>
      <c r="L60">
        <f t="shared" si="2"/>
        <v>75.2</v>
      </c>
      <c r="M60" t="str">
        <f t="shared" si="3"/>
        <v>B Grade</v>
      </c>
    </row>
    <row r="61" spans="1:13" x14ac:dyDescent="0.25">
      <c r="A61" t="s">
        <v>366</v>
      </c>
      <c r="B61" t="s">
        <v>96</v>
      </c>
      <c r="C61" t="s">
        <v>130</v>
      </c>
      <c r="D61">
        <v>81</v>
      </c>
      <c r="E61">
        <v>59</v>
      </c>
      <c r="F61">
        <v>43</v>
      </c>
      <c r="G61">
        <v>40</v>
      </c>
      <c r="H61">
        <v>64</v>
      </c>
      <c r="I61">
        <v>72</v>
      </c>
      <c r="J61">
        <f>SUM(Student_Dataset[[#This Row],[Mathematics]:[Computer Science]])</f>
        <v>359</v>
      </c>
      <c r="K61">
        <v>500</v>
      </c>
      <c r="L61">
        <f t="shared" si="2"/>
        <v>71.8</v>
      </c>
      <c r="M61" t="str">
        <f t="shared" si="3"/>
        <v>C Grade</v>
      </c>
    </row>
    <row r="62" spans="1:13" x14ac:dyDescent="0.25">
      <c r="A62" t="s">
        <v>357</v>
      </c>
      <c r="B62" t="s">
        <v>232</v>
      </c>
      <c r="C62" t="s">
        <v>130</v>
      </c>
      <c r="D62">
        <v>38</v>
      </c>
      <c r="E62">
        <v>40</v>
      </c>
      <c r="F62">
        <v>76</v>
      </c>
      <c r="G62">
        <v>42</v>
      </c>
      <c r="H62">
        <v>72</v>
      </c>
      <c r="I62">
        <v>80</v>
      </c>
      <c r="J62">
        <f>SUM(Student_Dataset[[#This Row],[Mathematics]:[Computer Science]])</f>
        <v>348</v>
      </c>
      <c r="K62">
        <v>500</v>
      </c>
      <c r="L62">
        <f t="shared" si="2"/>
        <v>69.599999999999994</v>
      </c>
      <c r="M62" t="str">
        <f t="shared" si="3"/>
        <v>C Grade</v>
      </c>
    </row>
    <row r="63" spans="1:13" x14ac:dyDescent="0.25">
      <c r="A63" t="s">
        <v>347</v>
      </c>
      <c r="B63" t="s">
        <v>237</v>
      </c>
      <c r="C63" t="s">
        <v>130</v>
      </c>
      <c r="D63">
        <v>36</v>
      </c>
      <c r="E63">
        <v>73</v>
      </c>
      <c r="F63">
        <v>48</v>
      </c>
      <c r="G63">
        <v>52</v>
      </c>
      <c r="H63">
        <v>68</v>
      </c>
      <c r="I63">
        <v>49</v>
      </c>
      <c r="J63">
        <f>SUM(Student_Dataset[[#This Row],[Mathematics]:[Computer Science]])</f>
        <v>326</v>
      </c>
      <c r="K63">
        <v>500</v>
      </c>
      <c r="L63">
        <f t="shared" si="2"/>
        <v>65.2</v>
      </c>
      <c r="M63" t="str">
        <f t="shared" si="3"/>
        <v>C Grade</v>
      </c>
    </row>
    <row r="64" spans="1:13" x14ac:dyDescent="0.25">
      <c r="A64" t="s">
        <v>463</v>
      </c>
      <c r="B64" t="s">
        <v>238</v>
      </c>
      <c r="C64" t="s">
        <v>128</v>
      </c>
      <c r="D64">
        <v>99</v>
      </c>
      <c r="E64">
        <v>69</v>
      </c>
      <c r="F64">
        <v>56</v>
      </c>
      <c r="G64">
        <v>67</v>
      </c>
      <c r="H64">
        <v>96</v>
      </c>
      <c r="I64">
        <v>72</v>
      </c>
      <c r="J64">
        <f>SUM(Student_Dataset[[#This Row],[Mathematics]:[Computer Science]])</f>
        <v>459</v>
      </c>
      <c r="K64">
        <v>500</v>
      </c>
      <c r="L64">
        <f t="shared" si="2"/>
        <v>91.8</v>
      </c>
      <c r="M64" t="str">
        <f t="shared" si="3"/>
        <v>A Grade</v>
      </c>
    </row>
    <row r="65" spans="1:13" x14ac:dyDescent="0.25">
      <c r="A65" t="s">
        <v>451</v>
      </c>
      <c r="B65" t="s">
        <v>247</v>
      </c>
      <c r="C65" t="s">
        <v>128</v>
      </c>
      <c r="D65">
        <v>76</v>
      </c>
      <c r="E65">
        <v>48</v>
      </c>
      <c r="F65">
        <v>55</v>
      </c>
      <c r="G65">
        <v>77</v>
      </c>
      <c r="H65">
        <v>87</v>
      </c>
      <c r="I65">
        <v>98</v>
      </c>
      <c r="J65">
        <f>SUM(Student_Dataset[[#This Row],[Mathematics]:[Computer Science]])</f>
        <v>441</v>
      </c>
      <c r="K65">
        <v>500</v>
      </c>
      <c r="L65">
        <f t="shared" si="2"/>
        <v>88.2</v>
      </c>
      <c r="M65" t="str">
        <f t="shared" si="3"/>
        <v>B Grade</v>
      </c>
    </row>
    <row r="66" spans="1:13" x14ac:dyDescent="0.25">
      <c r="A66" t="s">
        <v>447</v>
      </c>
      <c r="B66" t="s">
        <v>294</v>
      </c>
      <c r="C66" t="s">
        <v>128</v>
      </c>
      <c r="D66">
        <v>86</v>
      </c>
      <c r="E66">
        <v>72</v>
      </c>
      <c r="F66">
        <v>51</v>
      </c>
      <c r="G66">
        <v>59</v>
      </c>
      <c r="H66">
        <v>88</v>
      </c>
      <c r="I66">
        <v>83</v>
      </c>
      <c r="J66">
        <f>SUM(Student_Dataset[[#This Row],[Mathematics]:[Computer Science]])</f>
        <v>439</v>
      </c>
      <c r="K66">
        <v>500</v>
      </c>
      <c r="L66">
        <f t="shared" ref="L66:L97" si="4">(J66/K66)*100</f>
        <v>87.8</v>
      </c>
      <c r="M66" t="str">
        <f t="shared" ref="M66:M97" si="5">IF(L66&gt;=90,"A Grade",IF(L66&gt;=75,"B Grade",IF(L66&gt;=60,"C Grade",IF(L66&gt;=50,"D Grade","Fail"))))</f>
        <v>B Grade</v>
      </c>
    </row>
    <row r="67" spans="1:13" x14ac:dyDescent="0.25">
      <c r="A67" t="s">
        <v>423</v>
      </c>
      <c r="B67" t="s">
        <v>108</v>
      </c>
      <c r="C67" t="s">
        <v>128</v>
      </c>
      <c r="D67">
        <v>79</v>
      </c>
      <c r="E67">
        <v>68</v>
      </c>
      <c r="F67">
        <v>40</v>
      </c>
      <c r="G67">
        <v>93</v>
      </c>
      <c r="H67">
        <v>50</v>
      </c>
      <c r="I67">
        <v>83</v>
      </c>
      <c r="J67">
        <f>SUM(Student_Dataset[[#This Row],[Mathematics]:[Computer Science]])</f>
        <v>413</v>
      </c>
      <c r="K67">
        <v>500</v>
      </c>
      <c r="L67">
        <f t="shared" si="4"/>
        <v>82.6</v>
      </c>
      <c r="M67" t="str">
        <f t="shared" si="5"/>
        <v>B Grade</v>
      </c>
    </row>
    <row r="68" spans="1:13" x14ac:dyDescent="0.25">
      <c r="A68" t="s">
        <v>416</v>
      </c>
      <c r="B68" t="s">
        <v>330</v>
      </c>
      <c r="C68" t="s">
        <v>128</v>
      </c>
      <c r="D68">
        <v>43</v>
      </c>
      <c r="E68">
        <v>66</v>
      </c>
      <c r="F68">
        <v>82</v>
      </c>
      <c r="G68">
        <v>71</v>
      </c>
      <c r="H68">
        <v>55</v>
      </c>
      <c r="I68">
        <v>91</v>
      </c>
      <c r="J68">
        <f>SUM(Student_Dataset[[#This Row],[Mathematics]:[Computer Science]])</f>
        <v>408</v>
      </c>
      <c r="K68">
        <v>500</v>
      </c>
      <c r="L68">
        <f t="shared" si="4"/>
        <v>81.599999999999994</v>
      </c>
      <c r="M68" t="str">
        <f t="shared" si="5"/>
        <v>B Grade</v>
      </c>
    </row>
    <row r="69" spans="1:13" x14ac:dyDescent="0.25">
      <c r="A69" t="s">
        <v>415</v>
      </c>
      <c r="B69" t="s">
        <v>219</v>
      </c>
      <c r="C69" t="s">
        <v>128</v>
      </c>
      <c r="D69">
        <v>87</v>
      </c>
      <c r="E69">
        <v>66</v>
      </c>
      <c r="F69">
        <v>69</v>
      </c>
      <c r="G69">
        <v>55</v>
      </c>
      <c r="H69">
        <v>48</v>
      </c>
      <c r="I69">
        <v>83</v>
      </c>
      <c r="J69">
        <f>SUM(Student_Dataset[[#This Row],[Mathematics]:[Computer Science]])</f>
        <v>408</v>
      </c>
      <c r="K69">
        <v>500</v>
      </c>
      <c r="L69">
        <f t="shared" si="4"/>
        <v>81.599999999999994</v>
      </c>
      <c r="M69" t="str">
        <f t="shared" si="5"/>
        <v>B Grade</v>
      </c>
    </row>
    <row r="70" spans="1:13" x14ac:dyDescent="0.25">
      <c r="A70" t="s">
        <v>412</v>
      </c>
      <c r="B70" t="s">
        <v>252</v>
      </c>
      <c r="C70" t="s">
        <v>128</v>
      </c>
      <c r="D70">
        <v>47</v>
      </c>
      <c r="E70">
        <v>82</v>
      </c>
      <c r="F70">
        <v>80</v>
      </c>
      <c r="G70">
        <v>42</v>
      </c>
      <c r="H70">
        <v>85</v>
      </c>
      <c r="I70">
        <v>70</v>
      </c>
      <c r="J70">
        <f>SUM(Student_Dataset[[#This Row],[Mathematics]:[Computer Science]])</f>
        <v>406</v>
      </c>
      <c r="K70">
        <v>500</v>
      </c>
      <c r="L70">
        <f t="shared" si="4"/>
        <v>81.2</v>
      </c>
      <c r="M70" t="str">
        <f t="shared" si="5"/>
        <v>B Grade</v>
      </c>
    </row>
    <row r="71" spans="1:13" x14ac:dyDescent="0.25">
      <c r="A71" t="s">
        <v>398</v>
      </c>
      <c r="B71" t="s">
        <v>94</v>
      </c>
      <c r="C71" t="s">
        <v>128</v>
      </c>
      <c r="D71">
        <v>49</v>
      </c>
      <c r="E71">
        <v>72</v>
      </c>
      <c r="F71">
        <v>90</v>
      </c>
      <c r="G71">
        <v>55</v>
      </c>
      <c r="H71">
        <v>93</v>
      </c>
      <c r="I71">
        <v>35</v>
      </c>
      <c r="J71">
        <f>SUM(Student_Dataset[[#This Row],[Mathematics]:[Computer Science]])</f>
        <v>394</v>
      </c>
      <c r="K71">
        <v>500</v>
      </c>
      <c r="L71">
        <f t="shared" si="4"/>
        <v>78.8</v>
      </c>
      <c r="M71" t="str">
        <f t="shared" si="5"/>
        <v>B Grade</v>
      </c>
    </row>
    <row r="72" spans="1:13" x14ac:dyDescent="0.25">
      <c r="A72" t="s">
        <v>392</v>
      </c>
      <c r="B72" t="s">
        <v>268</v>
      </c>
      <c r="C72" t="s">
        <v>128</v>
      </c>
      <c r="D72">
        <v>49</v>
      </c>
      <c r="E72">
        <v>94</v>
      </c>
      <c r="F72">
        <v>44</v>
      </c>
      <c r="G72">
        <v>53</v>
      </c>
      <c r="H72">
        <v>63</v>
      </c>
      <c r="I72">
        <v>85</v>
      </c>
      <c r="J72">
        <f>SUM(Student_Dataset[[#This Row],[Mathematics]:[Computer Science]])</f>
        <v>388</v>
      </c>
      <c r="K72">
        <v>500</v>
      </c>
      <c r="L72">
        <f t="shared" si="4"/>
        <v>77.600000000000009</v>
      </c>
      <c r="M72" t="str">
        <f t="shared" si="5"/>
        <v>B Grade</v>
      </c>
    </row>
    <row r="73" spans="1:13" x14ac:dyDescent="0.25">
      <c r="A73" t="s">
        <v>391</v>
      </c>
      <c r="B73" t="s">
        <v>267</v>
      </c>
      <c r="C73" t="s">
        <v>128</v>
      </c>
      <c r="D73">
        <v>51</v>
      </c>
      <c r="E73">
        <v>42</v>
      </c>
      <c r="F73">
        <v>77</v>
      </c>
      <c r="G73">
        <v>50</v>
      </c>
      <c r="H73">
        <v>87</v>
      </c>
      <c r="I73">
        <v>80</v>
      </c>
      <c r="J73">
        <f>SUM(Student_Dataset[[#This Row],[Mathematics]:[Computer Science]])</f>
        <v>387</v>
      </c>
      <c r="K73">
        <v>500</v>
      </c>
      <c r="L73">
        <f t="shared" si="4"/>
        <v>77.400000000000006</v>
      </c>
      <c r="M73" t="str">
        <f t="shared" si="5"/>
        <v>B Grade</v>
      </c>
    </row>
    <row r="74" spans="1:13" x14ac:dyDescent="0.25">
      <c r="A74" t="s">
        <v>379</v>
      </c>
      <c r="B74" t="s">
        <v>251</v>
      </c>
      <c r="C74" t="s">
        <v>128</v>
      </c>
      <c r="D74">
        <v>75</v>
      </c>
      <c r="E74">
        <v>45</v>
      </c>
      <c r="F74">
        <v>52</v>
      </c>
      <c r="G74">
        <v>54</v>
      </c>
      <c r="H74">
        <v>64</v>
      </c>
      <c r="I74">
        <v>84</v>
      </c>
      <c r="J74">
        <f>SUM(Student_Dataset[[#This Row],[Mathematics]:[Computer Science]])</f>
        <v>374</v>
      </c>
      <c r="K74">
        <v>500</v>
      </c>
      <c r="L74">
        <f t="shared" si="4"/>
        <v>74.8</v>
      </c>
      <c r="M74" t="str">
        <f t="shared" si="5"/>
        <v>C Grade</v>
      </c>
    </row>
    <row r="75" spans="1:13" x14ac:dyDescent="0.25">
      <c r="A75" t="s">
        <v>369</v>
      </c>
      <c r="B75" t="s">
        <v>299</v>
      </c>
      <c r="C75" t="s">
        <v>128</v>
      </c>
      <c r="D75">
        <v>65</v>
      </c>
      <c r="E75">
        <v>56</v>
      </c>
      <c r="F75">
        <v>44</v>
      </c>
      <c r="G75">
        <v>65</v>
      </c>
      <c r="H75">
        <v>56</v>
      </c>
      <c r="I75">
        <v>76</v>
      </c>
      <c r="J75">
        <f>SUM(Student_Dataset[[#This Row],[Mathematics]:[Computer Science]])</f>
        <v>362</v>
      </c>
      <c r="K75">
        <v>500</v>
      </c>
      <c r="L75">
        <f t="shared" si="4"/>
        <v>72.399999999999991</v>
      </c>
      <c r="M75" t="str">
        <f t="shared" si="5"/>
        <v>C Grade</v>
      </c>
    </row>
    <row r="76" spans="1:13" x14ac:dyDescent="0.25">
      <c r="A76" t="s">
        <v>364</v>
      </c>
      <c r="B76" t="s">
        <v>115</v>
      </c>
      <c r="C76" t="s">
        <v>128</v>
      </c>
      <c r="D76">
        <v>70</v>
      </c>
      <c r="E76">
        <v>54</v>
      </c>
      <c r="F76">
        <v>62</v>
      </c>
      <c r="G76">
        <v>78</v>
      </c>
      <c r="H76">
        <v>48</v>
      </c>
      <c r="I76">
        <v>46</v>
      </c>
      <c r="J76">
        <f>SUM(Student_Dataset[[#This Row],[Mathematics]:[Computer Science]])</f>
        <v>358</v>
      </c>
      <c r="K76">
        <v>500</v>
      </c>
      <c r="L76">
        <f t="shared" si="4"/>
        <v>71.599999999999994</v>
      </c>
      <c r="M76" t="str">
        <f t="shared" si="5"/>
        <v>C Grade</v>
      </c>
    </row>
    <row r="77" spans="1:13" x14ac:dyDescent="0.25">
      <c r="A77" t="s">
        <v>338</v>
      </c>
      <c r="B77" t="s">
        <v>114</v>
      </c>
      <c r="C77" t="s">
        <v>128</v>
      </c>
      <c r="D77">
        <v>74</v>
      </c>
      <c r="E77">
        <v>65</v>
      </c>
      <c r="F77">
        <v>42</v>
      </c>
      <c r="G77">
        <v>65</v>
      </c>
      <c r="H77">
        <v>45</v>
      </c>
      <c r="J77">
        <f>SUM(Student_Dataset[[#This Row],[Mathematics]:[Computer Science]])</f>
        <v>291</v>
      </c>
      <c r="K77">
        <v>500</v>
      </c>
      <c r="L77">
        <f t="shared" si="4"/>
        <v>58.199999999999996</v>
      </c>
      <c r="M77" t="str">
        <f t="shared" si="5"/>
        <v>D Grade</v>
      </c>
    </row>
    <row r="78" spans="1:13" x14ac:dyDescent="0.25">
      <c r="A78" t="s">
        <v>336</v>
      </c>
      <c r="B78" t="s">
        <v>259</v>
      </c>
      <c r="C78" t="s">
        <v>128</v>
      </c>
      <c r="D78">
        <v>45</v>
      </c>
      <c r="E78">
        <v>41</v>
      </c>
      <c r="F78">
        <v>54</v>
      </c>
      <c r="G78">
        <v>55</v>
      </c>
      <c r="H78">
        <v>41</v>
      </c>
      <c r="I78">
        <v>45</v>
      </c>
      <c r="J78">
        <f>SUM(Student_Dataset[[#This Row],[Mathematics]:[Computer Science]])</f>
        <v>281</v>
      </c>
      <c r="K78">
        <v>500</v>
      </c>
      <c r="L78">
        <f t="shared" si="4"/>
        <v>56.2</v>
      </c>
      <c r="M78" t="str">
        <f t="shared" si="5"/>
        <v>D Grade</v>
      </c>
    </row>
    <row r="79" spans="1:13" x14ac:dyDescent="0.25">
      <c r="A79" t="s">
        <v>482</v>
      </c>
      <c r="B79" t="s">
        <v>304</v>
      </c>
      <c r="C79" t="s">
        <v>131</v>
      </c>
      <c r="D79">
        <v>97</v>
      </c>
      <c r="E79">
        <v>67</v>
      </c>
      <c r="F79">
        <v>87</v>
      </c>
      <c r="G79">
        <v>67</v>
      </c>
      <c r="H79">
        <v>78</v>
      </c>
      <c r="I79">
        <v>98</v>
      </c>
      <c r="J79">
        <f>SUM(Student_Dataset[[#This Row],[Mathematics]:[Computer Science]])</f>
        <v>494</v>
      </c>
      <c r="K79">
        <v>500</v>
      </c>
      <c r="L79">
        <f t="shared" si="4"/>
        <v>98.8</v>
      </c>
      <c r="M79" t="str">
        <f t="shared" si="5"/>
        <v>A Grade</v>
      </c>
    </row>
    <row r="80" spans="1:13" x14ac:dyDescent="0.25">
      <c r="A80" t="s">
        <v>471</v>
      </c>
      <c r="B80" t="s">
        <v>301</v>
      </c>
      <c r="C80" t="s">
        <v>131</v>
      </c>
      <c r="D80">
        <v>67</v>
      </c>
      <c r="E80">
        <v>93</v>
      </c>
      <c r="F80">
        <v>73</v>
      </c>
      <c r="G80">
        <v>60</v>
      </c>
      <c r="H80">
        <v>84</v>
      </c>
      <c r="I80">
        <v>96</v>
      </c>
      <c r="J80">
        <f>SUM(Student_Dataset[[#This Row],[Mathematics]:[Computer Science]])</f>
        <v>473</v>
      </c>
      <c r="K80">
        <v>500</v>
      </c>
      <c r="L80">
        <f t="shared" si="4"/>
        <v>94.6</v>
      </c>
      <c r="M80" t="str">
        <f t="shared" si="5"/>
        <v>A Grade</v>
      </c>
    </row>
    <row r="81" spans="1:13" x14ac:dyDescent="0.25">
      <c r="A81" t="s">
        <v>469</v>
      </c>
      <c r="B81" t="s">
        <v>246</v>
      </c>
      <c r="C81" t="s">
        <v>131</v>
      </c>
      <c r="D81">
        <v>88</v>
      </c>
      <c r="E81">
        <v>63</v>
      </c>
      <c r="F81">
        <v>97</v>
      </c>
      <c r="G81">
        <v>63</v>
      </c>
      <c r="H81">
        <v>69</v>
      </c>
      <c r="I81">
        <v>90</v>
      </c>
      <c r="J81">
        <f>SUM(Student_Dataset[[#This Row],[Mathematics]:[Computer Science]])</f>
        <v>470</v>
      </c>
      <c r="K81">
        <v>500</v>
      </c>
      <c r="L81">
        <f t="shared" si="4"/>
        <v>94</v>
      </c>
      <c r="M81" t="str">
        <f t="shared" si="5"/>
        <v>A Grade</v>
      </c>
    </row>
    <row r="82" spans="1:13" x14ac:dyDescent="0.25">
      <c r="A82" t="s">
        <v>467</v>
      </c>
      <c r="B82" t="s">
        <v>221</v>
      </c>
      <c r="C82" t="s">
        <v>131</v>
      </c>
      <c r="D82">
        <v>76</v>
      </c>
      <c r="E82">
        <v>62</v>
      </c>
      <c r="F82">
        <v>93</v>
      </c>
      <c r="G82">
        <v>76</v>
      </c>
      <c r="H82">
        <v>78</v>
      </c>
      <c r="I82">
        <v>83</v>
      </c>
      <c r="J82">
        <f>SUM(Student_Dataset[[#This Row],[Mathematics]:[Computer Science]])</f>
        <v>468</v>
      </c>
      <c r="K82">
        <v>500</v>
      </c>
      <c r="L82">
        <f t="shared" si="4"/>
        <v>93.600000000000009</v>
      </c>
      <c r="M82" t="str">
        <f t="shared" si="5"/>
        <v>A Grade</v>
      </c>
    </row>
    <row r="83" spans="1:13" x14ac:dyDescent="0.25">
      <c r="A83" t="s">
        <v>464</v>
      </c>
      <c r="B83" t="s">
        <v>224</v>
      </c>
      <c r="C83" t="s">
        <v>131</v>
      </c>
      <c r="D83">
        <v>92</v>
      </c>
      <c r="E83">
        <v>91</v>
      </c>
      <c r="F83">
        <v>73</v>
      </c>
      <c r="G83">
        <v>89</v>
      </c>
      <c r="H83">
        <v>74</v>
      </c>
      <c r="I83">
        <v>42</v>
      </c>
      <c r="J83">
        <f>SUM(Student_Dataset[[#This Row],[Mathematics]:[Computer Science]])</f>
        <v>461</v>
      </c>
      <c r="K83">
        <v>500</v>
      </c>
      <c r="L83">
        <f t="shared" si="4"/>
        <v>92.2</v>
      </c>
      <c r="M83" t="str">
        <f t="shared" si="5"/>
        <v>A Grade</v>
      </c>
    </row>
    <row r="84" spans="1:13" x14ac:dyDescent="0.25">
      <c r="A84" t="s">
        <v>456</v>
      </c>
      <c r="B84" t="s">
        <v>236</v>
      </c>
      <c r="C84" t="s">
        <v>131</v>
      </c>
      <c r="D84">
        <v>93</v>
      </c>
      <c r="E84">
        <v>82</v>
      </c>
      <c r="F84">
        <v>88</v>
      </c>
      <c r="G84">
        <v>54</v>
      </c>
      <c r="H84">
        <v>88</v>
      </c>
      <c r="I84">
        <v>47</v>
      </c>
      <c r="J84">
        <f>SUM(Student_Dataset[[#This Row],[Mathematics]:[Computer Science]])</f>
        <v>452</v>
      </c>
      <c r="K84">
        <v>500</v>
      </c>
      <c r="L84">
        <f t="shared" si="4"/>
        <v>90.4</v>
      </c>
      <c r="M84" t="str">
        <f t="shared" si="5"/>
        <v>A Grade</v>
      </c>
    </row>
    <row r="85" spans="1:13" x14ac:dyDescent="0.25">
      <c r="A85" t="s">
        <v>453</v>
      </c>
      <c r="B85" t="s">
        <v>269</v>
      </c>
      <c r="C85" t="s">
        <v>131</v>
      </c>
      <c r="D85">
        <v>81</v>
      </c>
      <c r="E85">
        <v>93</v>
      </c>
      <c r="F85">
        <v>54</v>
      </c>
      <c r="G85">
        <v>90</v>
      </c>
      <c r="H85">
        <v>57</v>
      </c>
      <c r="I85">
        <v>69</v>
      </c>
      <c r="J85">
        <f>SUM(Student_Dataset[[#This Row],[Mathematics]:[Computer Science]])</f>
        <v>444</v>
      </c>
      <c r="K85">
        <v>500</v>
      </c>
      <c r="L85">
        <f t="shared" si="4"/>
        <v>88.8</v>
      </c>
      <c r="M85" t="str">
        <f t="shared" si="5"/>
        <v>B Grade</v>
      </c>
    </row>
    <row r="86" spans="1:13" x14ac:dyDescent="0.25">
      <c r="A86" t="s">
        <v>450</v>
      </c>
      <c r="B86" t="s">
        <v>245</v>
      </c>
      <c r="C86" t="s">
        <v>131</v>
      </c>
      <c r="D86">
        <v>65</v>
      </c>
      <c r="E86">
        <v>98</v>
      </c>
      <c r="F86">
        <v>53</v>
      </c>
      <c r="G86">
        <v>64</v>
      </c>
      <c r="H86">
        <v>94</v>
      </c>
      <c r="I86">
        <v>67</v>
      </c>
      <c r="J86">
        <f>SUM(Student_Dataset[[#This Row],[Mathematics]:[Computer Science]])</f>
        <v>441</v>
      </c>
      <c r="K86">
        <v>500</v>
      </c>
      <c r="L86">
        <f t="shared" si="4"/>
        <v>88.2</v>
      </c>
      <c r="M86" t="str">
        <f t="shared" si="5"/>
        <v>B Grade</v>
      </c>
    </row>
    <row r="87" spans="1:13" x14ac:dyDescent="0.25">
      <c r="A87" t="s">
        <v>442</v>
      </c>
      <c r="B87" t="s">
        <v>271</v>
      </c>
      <c r="C87" t="s">
        <v>131</v>
      </c>
      <c r="D87">
        <v>70</v>
      </c>
      <c r="E87">
        <v>39</v>
      </c>
      <c r="F87">
        <v>82</v>
      </c>
      <c r="G87">
        <v>62</v>
      </c>
      <c r="H87">
        <v>91</v>
      </c>
      <c r="I87">
        <v>91</v>
      </c>
      <c r="J87">
        <f>SUM(Student_Dataset[[#This Row],[Mathematics]:[Computer Science]])</f>
        <v>435</v>
      </c>
      <c r="K87">
        <v>500</v>
      </c>
      <c r="L87">
        <f t="shared" si="4"/>
        <v>87</v>
      </c>
      <c r="M87" t="str">
        <f t="shared" si="5"/>
        <v>B Grade</v>
      </c>
    </row>
    <row r="88" spans="1:13" x14ac:dyDescent="0.25">
      <c r="A88" t="s">
        <v>441</v>
      </c>
      <c r="B88" t="s">
        <v>276</v>
      </c>
      <c r="C88" t="s">
        <v>131</v>
      </c>
      <c r="D88">
        <v>47</v>
      </c>
      <c r="E88">
        <v>75</v>
      </c>
      <c r="F88">
        <v>89</v>
      </c>
      <c r="G88">
        <v>75</v>
      </c>
      <c r="H88">
        <v>67</v>
      </c>
      <c r="I88">
        <v>82</v>
      </c>
      <c r="J88">
        <f>SUM(Student_Dataset[[#This Row],[Mathematics]:[Computer Science]])</f>
        <v>435</v>
      </c>
      <c r="K88">
        <v>500</v>
      </c>
      <c r="L88">
        <f t="shared" si="4"/>
        <v>87</v>
      </c>
      <c r="M88" t="str">
        <f t="shared" si="5"/>
        <v>B Grade</v>
      </c>
    </row>
    <row r="89" spans="1:13" x14ac:dyDescent="0.25">
      <c r="A89" t="s">
        <v>434</v>
      </c>
      <c r="B89" t="s">
        <v>248</v>
      </c>
      <c r="C89" t="s">
        <v>131</v>
      </c>
      <c r="D89">
        <v>82</v>
      </c>
      <c r="E89">
        <v>43</v>
      </c>
      <c r="F89">
        <v>99</v>
      </c>
      <c r="G89">
        <v>78</v>
      </c>
      <c r="H89">
        <v>36</v>
      </c>
      <c r="I89">
        <v>88</v>
      </c>
      <c r="J89">
        <f>SUM(Student_Dataset[[#This Row],[Mathematics]:[Computer Science]])</f>
        <v>426</v>
      </c>
      <c r="K89">
        <v>500</v>
      </c>
      <c r="L89">
        <f t="shared" si="4"/>
        <v>85.2</v>
      </c>
      <c r="M89" t="str">
        <f t="shared" si="5"/>
        <v>B Grade</v>
      </c>
    </row>
    <row r="90" spans="1:13" x14ac:dyDescent="0.25">
      <c r="A90" t="s">
        <v>432</v>
      </c>
      <c r="B90" t="s">
        <v>235</v>
      </c>
      <c r="C90" t="s">
        <v>131</v>
      </c>
      <c r="D90">
        <v>84</v>
      </c>
      <c r="E90">
        <v>54</v>
      </c>
      <c r="F90">
        <v>98</v>
      </c>
      <c r="G90">
        <v>39</v>
      </c>
      <c r="H90">
        <v>51</v>
      </c>
      <c r="I90">
        <v>99</v>
      </c>
      <c r="J90">
        <f>SUM(Student_Dataset[[#This Row],[Mathematics]:[Computer Science]])</f>
        <v>425</v>
      </c>
      <c r="K90">
        <v>500</v>
      </c>
      <c r="L90">
        <f t="shared" si="4"/>
        <v>85</v>
      </c>
      <c r="M90" t="str">
        <f t="shared" si="5"/>
        <v>B Grade</v>
      </c>
    </row>
    <row r="91" spans="1:13" x14ac:dyDescent="0.25">
      <c r="A91" t="s">
        <v>428</v>
      </c>
      <c r="B91" t="s">
        <v>311</v>
      </c>
      <c r="C91" t="s">
        <v>131</v>
      </c>
      <c r="D91">
        <v>100</v>
      </c>
      <c r="E91">
        <v>35</v>
      </c>
      <c r="F91">
        <v>94</v>
      </c>
      <c r="G91">
        <v>87</v>
      </c>
      <c r="H91">
        <v>41</v>
      </c>
      <c r="I91">
        <v>59</v>
      </c>
      <c r="J91">
        <f>SUM(Student_Dataset[[#This Row],[Mathematics]:[Computer Science]])</f>
        <v>416</v>
      </c>
      <c r="K91">
        <v>500</v>
      </c>
      <c r="L91">
        <f t="shared" si="4"/>
        <v>83.2</v>
      </c>
      <c r="M91" t="str">
        <f t="shared" si="5"/>
        <v>B Grade</v>
      </c>
    </row>
    <row r="92" spans="1:13" x14ac:dyDescent="0.25">
      <c r="A92" t="s">
        <v>427</v>
      </c>
      <c r="B92" t="s">
        <v>255</v>
      </c>
      <c r="C92" t="s">
        <v>131</v>
      </c>
      <c r="D92">
        <v>80</v>
      </c>
      <c r="E92">
        <v>72</v>
      </c>
      <c r="F92">
        <v>72</v>
      </c>
      <c r="G92">
        <v>37</v>
      </c>
      <c r="H92">
        <v>85</v>
      </c>
      <c r="I92">
        <v>70</v>
      </c>
      <c r="J92">
        <f>SUM(Student_Dataset[[#This Row],[Mathematics]:[Computer Science]])</f>
        <v>416</v>
      </c>
      <c r="K92">
        <v>500</v>
      </c>
      <c r="L92">
        <f t="shared" si="4"/>
        <v>83.2</v>
      </c>
      <c r="M92" t="str">
        <f t="shared" si="5"/>
        <v>B Grade</v>
      </c>
    </row>
    <row r="93" spans="1:13" x14ac:dyDescent="0.25">
      <c r="A93" t="s">
        <v>426</v>
      </c>
      <c r="B93" t="s">
        <v>220</v>
      </c>
      <c r="C93" t="s">
        <v>131</v>
      </c>
      <c r="D93">
        <v>84</v>
      </c>
      <c r="E93">
        <v>37</v>
      </c>
      <c r="F93">
        <v>83</v>
      </c>
      <c r="G93">
        <v>96</v>
      </c>
      <c r="H93">
        <v>35</v>
      </c>
      <c r="I93">
        <v>80</v>
      </c>
      <c r="J93">
        <f>SUM(Student_Dataset[[#This Row],[Mathematics]:[Computer Science]])</f>
        <v>415</v>
      </c>
      <c r="K93">
        <v>500</v>
      </c>
      <c r="L93">
        <f t="shared" si="4"/>
        <v>83</v>
      </c>
      <c r="M93" t="str">
        <f t="shared" si="5"/>
        <v>B Grade</v>
      </c>
    </row>
    <row r="94" spans="1:13" x14ac:dyDescent="0.25">
      <c r="A94" t="s">
        <v>422</v>
      </c>
      <c r="B94" t="s">
        <v>295</v>
      </c>
      <c r="C94" t="s">
        <v>131</v>
      </c>
      <c r="D94">
        <v>41</v>
      </c>
      <c r="E94">
        <v>71</v>
      </c>
      <c r="F94">
        <v>74</v>
      </c>
      <c r="G94">
        <v>80</v>
      </c>
      <c r="H94">
        <v>48</v>
      </c>
      <c r="I94">
        <v>99</v>
      </c>
      <c r="J94">
        <f>SUM(Student_Dataset[[#This Row],[Mathematics]:[Computer Science]])</f>
        <v>413</v>
      </c>
      <c r="K94">
        <v>500</v>
      </c>
      <c r="L94">
        <f t="shared" si="4"/>
        <v>82.6</v>
      </c>
      <c r="M94" t="str">
        <f t="shared" si="5"/>
        <v>B Grade</v>
      </c>
    </row>
    <row r="95" spans="1:13" x14ac:dyDescent="0.25">
      <c r="A95" t="s">
        <v>421</v>
      </c>
      <c r="B95" t="s">
        <v>228</v>
      </c>
      <c r="C95" t="s">
        <v>131</v>
      </c>
      <c r="D95">
        <v>59</v>
      </c>
      <c r="E95">
        <v>100</v>
      </c>
      <c r="F95">
        <v>52</v>
      </c>
      <c r="G95">
        <v>43</v>
      </c>
      <c r="H95">
        <v>70</v>
      </c>
      <c r="I95">
        <v>88</v>
      </c>
      <c r="J95">
        <f>SUM(Student_Dataset[[#This Row],[Mathematics]:[Computer Science]])</f>
        <v>412</v>
      </c>
      <c r="K95">
        <v>500</v>
      </c>
      <c r="L95">
        <f t="shared" si="4"/>
        <v>82.399999999999991</v>
      </c>
      <c r="M95" t="str">
        <f t="shared" si="5"/>
        <v>B Grade</v>
      </c>
    </row>
    <row r="96" spans="1:13" x14ac:dyDescent="0.25">
      <c r="A96" t="s">
        <v>407</v>
      </c>
      <c r="B96" t="s">
        <v>270</v>
      </c>
      <c r="C96" t="s">
        <v>131</v>
      </c>
      <c r="D96">
        <v>78</v>
      </c>
      <c r="E96">
        <v>86</v>
      </c>
      <c r="F96">
        <v>56</v>
      </c>
      <c r="G96">
        <v>94</v>
      </c>
      <c r="H96">
        <v>51</v>
      </c>
      <c r="I96">
        <v>38</v>
      </c>
      <c r="J96">
        <f>SUM(Student_Dataset[[#This Row],[Mathematics]:[Computer Science]])</f>
        <v>403</v>
      </c>
      <c r="K96">
        <v>500</v>
      </c>
      <c r="L96">
        <f t="shared" si="4"/>
        <v>80.600000000000009</v>
      </c>
      <c r="M96" t="str">
        <f t="shared" si="5"/>
        <v>B Grade</v>
      </c>
    </row>
    <row r="97" spans="1:13" x14ac:dyDescent="0.25">
      <c r="A97" t="s">
        <v>402</v>
      </c>
      <c r="B97" t="s">
        <v>105</v>
      </c>
      <c r="C97" t="s">
        <v>131</v>
      </c>
      <c r="D97">
        <v>83</v>
      </c>
      <c r="E97">
        <v>94</v>
      </c>
      <c r="F97">
        <v>67</v>
      </c>
      <c r="G97">
        <v>36</v>
      </c>
      <c r="H97">
        <v>49</v>
      </c>
      <c r="I97">
        <v>69</v>
      </c>
      <c r="J97">
        <f>SUM(Student_Dataset[[#This Row],[Mathematics]:[Computer Science]])</f>
        <v>398</v>
      </c>
      <c r="K97">
        <v>500</v>
      </c>
      <c r="L97">
        <f t="shared" si="4"/>
        <v>79.600000000000009</v>
      </c>
      <c r="M97" t="str">
        <f t="shared" si="5"/>
        <v>B Grade</v>
      </c>
    </row>
    <row r="98" spans="1:13" x14ac:dyDescent="0.25">
      <c r="A98" t="s">
        <v>400</v>
      </c>
      <c r="B98" t="s">
        <v>261</v>
      </c>
      <c r="C98" t="s">
        <v>131</v>
      </c>
      <c r="D98">
        <v>39</v>
      </c>
      <c r="E98">
        <v>93</v>
      </c>
      <c r="F98">
        <v>46</v>
      </c>
      <c r="G98">
        <v>75</v>
      </c>
      <c r="H98">
        <v>67</v>
      </c>
      <c r="I98">
        <v>76</v>
      </c>
      <c r="J98">
        <f>SUM(Student_Dataset[[#This Row],[Mathematics]:[Computer Science]])</f>
        <v>396</v>
      </c>
      <c r="K98">
        <v>500</v>
      </c>
      <c r="L98">
        <f t="shared" ref="L98:L129" si="6">(J98/K98)*100</f>
        <v>79.2</v>
      </c>
      <c r="M98" t="str">
        <f t="shared" ref="M98:M129" si="7">IF(L98&gt;=90,"A Grade",IF(L98&gt;=75,"B Grade",IF(L98&gt;=60,"C Grade",IF(L98&gt;=50,"D Grade","Fail"))))</f>
        <v>B Grade</v>
      </c>
    </row>
    <row r="99" spans="1:13" x14ac:dyDescent="0.25">
      <c r="A99" t="s">
        <v>396</v>
      </c>
      <c r="B99" t="s">
        <v>310</v>
      </c>
      <c r="C99" t="s">
        <v>131</v>
      </c>
      <c r="D99">
        <v>49</v>
      </c>
      <c r="E99">
        <v>71</v>
      </c>
      <c r="F99">
        <v>97</v>
      </c>
      <c r="G99">
        <v>74</v>
      </c>
      <c r="H99">
        <v>40</v>
      </c>
      <c r="I99">
        <v>63</v>
      </c>
      <c r="J99">
        <f>SUM(Student_Dataset[[#This Row],[Mathematics]:[Computer Science]])</f>
        <v>394</v>
      </c>
      <c r="K99">
        <v>500</v>
      </c>
      <c r="L99">
        <f t="shared" si="6"/>
        <v>78.8</v>
      </c>
      <c r="M99" t="str">
        <f t="shared" si="7"/>
        <v>B Grade</v>
      </c>
    </row>
    <row r="100" spans="1:13" x14ac:dyDescent="0.25">
      <c r="A100" t="s">
        <v>370</v>
      </c>
      <c r="B100" t="s">
        <v>305</v>
      </c>
      <c r="C100" t="s">
        <v>131</v>
      </c>
      <c r="D100">
        <v>67</v>
      </c>
      <c r="E100">
        <v>45</v>
      </c>
      <c r="F100">
        <v>95</v>
      </c>
      <c r="G100">
        <v>37</v>
      </c>
      <c r="H100">
        <v>41</v>
      </c>
      <c r="I100">
        <v>79</v>
      </c>
      <c r="J100">
        <f>SUM(Student_Dataset[[#This Row],[Mathematics]:[Computer Science]])</f>
        <v>364</v>
      </c>
      <c r="K100">
        <v>500</v>
      </c>
      <c r="L100">
        <f t="shared" si="6"/>
        <v>72.8</v>
      </c>
      <c r="M100" t="str">
        <f t="shared" si="7"/>
        <v>C Grade</v>
      </c>
    </row>
    <row r="101" spans="1:13" x14ac:dyDescent="0.25">
      <c r="A101" t="s">
        <v>363</v>
      </c>
      <c r="B101" t="s">
        <v>218</v>
      </c>
      <c r="C101" t="s">
        <v>131</v>
      </c>
      <c r="D101">
        <v>77</v>
      </c>
      <c r="E101">
        <v>38</v>
      </c>
      <c r="F101">
        <v>49</v>
      </c>
      <c r="G101">
        <v>68</v>
      </c>
      <c r="H101">
        <v>57</v>
      </c>
      <c r="I101">
        <v>68</v>
      </c>
      <c r="J101">
        <f>SUM(Student_Dataset[[#This Row],[Mathematics]:[Computer Science]])</f>
        <v>357</v>
      </c>
      <c r="K101">
        <v>500</v>
      </c>
      <c r="L101">
        <f t="shared" si="6"/>
        <v>71.399999999999991</v>
      </c>
      <c r="M101" t="str">
        <f t="shared" si="7"/>
        <v>C Grade</v>
      </c>
    </row>
    <row r="102" spans="1:13" x14ac:dyDescent="0.25">
      <c r="A102" t="s">
        <v>355</v>
      </c>
      <c r="B102" t="s">
        <v>329</v>
      </c>
      <c r="C102" t="s">
        <v>131</v>
      </c>
      <c r="D102">
        <v>38</v>
      </c>
      <c r="E102">
        <v>69</v>
      </c>
      <c r="F102">
        <v>38</v>
      </c>
      <c r="G102">
        <v>58</v>
      </c>
      <c r="H102">
        <v>69</v>
      </c>
      <c r="I102">
        <v>74</v>
      </c>
      <c r="J102">
        <f>SUM(Student_Dataset[[#This Row],[Mathematics]:[Computer Science]])</f>
        <v>346</v>
      </c>
      <c r="K102">
        <v>500</v>
      </c>
      <c r="L102">
        <f t="shared" si="6"/>
        <v>69.199999999999989</v>
      </c>
      <c r="M102" t="str">
        <f t="shared" si="7"/>
        <v>C Grade</v>
      </c>
    </row>
    <row r="103" spans="1:13" x14ac:dyDescent="0.25">
      <c r="A103" t="s">
        <v>466</v>
      </c>
      <c r="B103" t="s">
        <v>263</v>
      </c>
      <c r="C103" t="s">
        <v>132</v>
      </c>
      <c r="D103">
        <v>79</v>
      </c>
      <c r="E103">
        <v>77</v>
      </c>
      <c r="F103">
        <v>83</v>
      </c>
      <c r="G103">
        <v>93</v>
      </c>
      <c r="H103">
        <v>76</v>
      </c>
      <c r="I103">
        <v>59</v>
      </c>
      <c r="J103">
        <f>SUM(Student_Dataset[[#This Row],[Mathematics]:[Computer Science]])</f>
        <v>467</v>
      </c>
      <c r="K103">
        <v>500</v>
      </c>
      <c r="L103">
        <f t="shared" si="6"/>
        <v>93.4</v>
      </c>
      <c r="M103" t="str">
        <f t="shared" si="7"/>
        <v>A Grade</v>
      </c>
    </row>
    <row r="104" spans="1:13" x14ac:dyDescent="0.25">
      <c r="A104" t="s">
        <v>460</v>
      </c>
      <c r="B104" t="s">
        <v>240</v>
      </c>
      <c r="C104" t="s">
        <v>132</v>
      </c>
      <c r="D104">
        <v>66</v>
      </c>
      <c r="E104">
        <v>94</v>
      </c>
      <c r="F104">
        <v>83</v>
      </c>
      <c r="G104">
        <v>78</v>
      </c>
      <c r="H104">
        <v>38</v>
      </c>
      <c r="I104">
        <v>98</v>
      </c>
      <c r="J104">
        <f>SUM(Student_Dataset[[#This Row],[Mathematics]:[Computer Science]])</f>
        <v>457</v>
      </c>
      <c r="K104">
        <v>500</v>
      </c>
      <c r="L104">
        <f t="shared" si="6"/>
        <v>91.4</v>
      </c>
      <c r="M104" t="str">
        <f t="shared" si="7"/>
        <v>A Grade</v>
      </c>
    </row>
    <row r="105" spans="1:13" x14ac:dyDescent="0.25">
      <c r="A105" t="s">
        <v>459</v>
      </c>
      <c r="B105" t="s">
        <v>251</v>
      </c>
      <c r="C105" t="s">
        <v>132</v>
      </c>
      <c r="D105">
        <v>62</v>
      </c>
      <c r="E105">
        <v>51</v>
      </c>
      <c r="F105">
        <v>95</v>
      </c>
      <c r="G105">
        <v>66</v>
      </c>
      <c r="H105">
        <v>95</v>
      </c>
      <c r="I105">
        <v>87</v>
      </c>
      <c r="J105">
        <f>SUM(Student_Dataset[[#This Row],[Mathematics]:[Computer Science]])</f>
        <v>456</v>
      </c>
      <c r="K105">
        <v>500</v>
      </c>
      <c r="L105">
        <f t="shared" si="6"/>
        <v>91.2</v>
      </c>
      <c r="M105" t="str">
        <f t="shared" si="7"/>
        <v>A Grade</v>
      </c>
    </row>
    <row r="106" spans="1:13" x14ac:dyDescent="0.25">
      <c r="A106" t="s">
        <v>458</v>
      </c>
      <c r="B106" t="s">
        <v>282</v>
      </c>
      <c r="C106" t="s">
        <v>132</v>
      </c>
      <c r="D106">
        <v>70</v>
      </c>
      <c r="E106">
        <v>58</v>
      </c>
      <c r="F106">
        <v>90</v>
      </c>
      <c r="G106">
        <v>97</v>
      </c>
      <c r="H106">
        <v>46</v>
      </c>
      <c r="I106">
        <v>95</v>
      </c>
      <c r="J106">
        <f>SUM(Student_Dataset[[#This Row],[Mathematics]:[Computer Science]])</f>
        <v>456</v>
      </c>
      <c r="K106">
        <v>500</v>
      </c>
      <c r="L106">
        <f t="shared" si="6"/>
        <v>91.2</v>
      </c>
      <c r="M106" t="str">
        <f t="shared" si="7"/>
        <v>A Grade</v>
      </c>
    </row>
    <row r="107" spans="1:13" x14ac:dyDescent="0.25">
      <c r="A107" t="s">
        <v>452</v>
      </c>
      <c r="B107" t="s">
        <v>151</v>
      </c>
      <c r="C107" t="s">
        <v>132</v>
      </c>
      <c r="D107">
        <v>71</v>
      </c>
      <c r="E107">
        <v>89</v>
      </c>
      <c r="F107">
        <v>97</v>
      </c>
      <c r="G107">
        <v>54</v>
      </c>
      <c r="H107">
        <v>59</v>
      </c>
      <c r="I107">
        <v>72</v>
      </c>
      <c r="J107">
        <f>SUM(Student_Dataset[[#This Row],[Mathematics]:[Computer Science]])</f>
        <v>442</v>
      </c>
      <c r="K107">
        <v>500</v>
      </c>
      <c r="L107">
        <f t="shared" si="6"/>
        <v>88.4</v>
      </c>
      <c r="M107" t="str">
        <f t="shared" si="7"/>
        <v>B Grade</v>
      </c>
    </row>
    <row r="108" spans="1:13" x14ac:dyDescent="0.25">
      <c r="A108" t="s">
        <v>439</v>
      </c>
      <c r="B108" t="s">
        <v>328</v>
      </c>
      <c r="C108" t="s">
        <v>132</v>
      </c>
      <c r="D108">
        <v>63</v>
      </c>
      <c r="E108">
        <v>60</v>
      </c>
      <c r="F108">
        <v>93</v>
      </c>
      <c r="G108">
        <v>79</v>
      </c>
      <c r="H108">
        <v>74</v>
      </c>
      <c r="I108">
        <v>64</v>
      </c>
      <c r="J108">
        <f>SUM(Student_Dataset[[#This Row],[Mathematics]:[Computer Science]])</f>
        <v>433</v>
      </c>
      <c r="K108">
        <v>500</v>
      </c>
      <c r="L108">
        <f t="shared" si="6"/>
        <v>86.6</v>
      </c>
      <c r="M108" t="str">
        <f t="shared" si="7"/>
        <v>B Grade</v>
      </c>
    </row>
    <row r="109" spans="1:13" x14ac:dyDescent="0.25">
      <c r="A109" t="s">
        <v>436</v>
      </c>
      <c r="B109" t="s">
        <v>325</v>
      </c>
      <c r="C109" t="s">
        <v>132</v>
      </c>
      <c r="D109">
        <v>52</v>
      </c>
      <c r="E109">
        <v>89</v>
      </c>
      <c r="F109">
        <v>58</v>
      </c>
      <c r="G109">
        <v>70</v>
      </c>
      <c r="H109">
        <v>94</v>
      </c>
      <c r="I109">
        <v>66</v>
      </c>
      <c r="J109">
        <f>SUM(Student_Dataset[[#This Row],[Mathematics]:[Computer Science]])</f>
        <v>429</v>
      </c>
      <c r="K109">
        <v>500</v>
      </c>
      <c r="L109">
        <f t="shared" si="6"/>
        <v>85.8</v>
      </c>
      <c r="M109" t="str">
        <f t="shared" si="7"/>
        <v>B Grade</v>
      </c>
    </row>
    <row r="110" spans="1:13" x14ac:dyDescent="0.25">
      <c r="A110" t="s">
        <v>435</v>
      </c>
      <c r="B110" t="s">
        <v>322</v>
      </c>
      <c r="C110" t="s">
        <v>132</v>
      </c>
      <c r="D110">
        <v>62</v>
      </c>
      <c r="E110">
        <v>80</v>
      </c>
      <c r="F110">
        <v>68</v>
      </c>
      <c r="G110">
        <v>78</v>
      </c>
      <c r="H110">
        <v>70</v>
      </c>
      <c r="I110">
        <v>70</v>
      </c>
      <c r="J110">
        <f>SUM(Student_Dataset[[#This Row],[Mathematics]:[Computer Science]])</f>
        <v>428</v>
      </c>
      <c r="K110">
        <v>500</v>
      </c>
      <c r="L110">
        <f t="shared" si="6"/>
        <v>85.6</v>
      </c>
      <c r="M110" t="str">
        <f t="shared" si="7"/>
        <v>B Grade</v>
      </c>
    </row>
    <row r="111" spans="1:13" x14ac:dyDescent="0.25">
      <c r="A111" t="s">
        <v>418</v>
      </c>
      <c r="B111" t="s">
        <v>250</v>
      </c>
      <c r="C111" t="s">
        <v>132</v>
      </c>
      <c r="D111">
        <v>49</v>
      </c>
      <c r="E111">
        <v>62</v>
      </c>
      <c r="F111">
        <v>94</v>
      </c>
      <c r="G111">
        <v>67</v>
      </c>
      <c r="H111">
        <v>82</v>
      </c>
      <c r="I111">
        <v>56</v>
      </c>
      <c r="J111">
        <f>SUM(Student_Dataset[[#This Row],[Mathematics]:[Computer Science]])</f>
        <v>410</v>
      </c>
      <c r="K111">
        <v>500</v>
      </c>
      <c r="L111">
        <f t="shared" si="6"/>
        <v>82</v>
      </c>
      <c r="M111" t="str">
        <f t="shared" si="7"/>
        <v>B Grade</v>
      </c>
    </row>
    <row r="112" spans="1:13" x14ac:dyDescent="0.25">
      <c r="A112" t="s">
        <v>401</v>
      </c>
      <c r="B112" t="s">
        <v>319</v>
      </c>
      <c r="C112" t="s">
        <v>132</v>
      </c>
      <c r="D112">
        <v>92</v>
      </c>
      <c r="E112">
        <v>37</v>
      </c>
      <c r="F112">
        <v>46</v>
      </c>
      <c r="G112">
        <v>72</v>
      </c>
      <c r="H112">
        <v>63</v>
      </c>
      <c r="I112">
        <v>86</v>
      </c>
      <c r="J112">
        <f>SUM(Student_Dataset[[#This Row],[Mathematics]:[Computer Science]])</f>
        <v>396</v>
      </c>
      <c r="K112">
        <v>500</v>
      </c>
      <c r="L112">
        <f t="shared" si="6"/>
        <v>79.2</v>
      </c>
      <c r="M112" t="str">
        <f t="shared" si="7"/>
        <v>B Grade</v>
      </c>
    </row>
    <row r="113" spans="1:13" x14ac:dyDescent="0.25">
      <c r="A113" t="s">
        <v>394</v>
      </c>
      <c r="B113" t="s">
        <v>300</v>
      </c>
      <c r="C113" t="s">
        <v>132</v>
      </c>
      <c r="D113">
        <v>63</v>
      </c>
      <c r="E113">
        <v>48</v>
      </c>
      <c r="F113">
        <v>79</v>
      </c>
      <c r="G113">
        <v>82</v>
      </c>
      <c r="H113">
        <v>49</v>
      </c>
      <c r="I113">
        <v>70</v>
      </c>
      <c r="J113">
        <f>SUM(Student_Dataset[[#This Row],[Mathematics]:[Computer Science]])</f>
        <v>391</v>
      </c>
      <c r="K113">
        <v>500</v>
      </c>
      <c r="L113">
        <f t="shared" si="6"/>
        <v>78.2</v>
      </c>
      <c r="M113" t="str">
        <f t="shared" si="7"/>
        <v>B Grade</v>
      </c>
    </row>
    <row r="114" spans="1:13" x14ac:dyDescent="0.25">
      <c r="A114" t="s">
        <v>371</v>
      </c>
      <c r="B114" t="s">
        <v>230</v>
      </c>
      <c r="C114" t="s">
        <v>132</v>
      </c>
      <c r="D114">
        <v>62</v>
      </c>
      <c r="E114">
        <v>86</v>
      </c>
      <c r="F114">
        <v>42</v>
      </c>
      <c r="G114">
        <v>56</v>
      </c>
      <c r="H114">
        <v>83</v>
      </c>
      <c r="I114">
        <v>35</v>
      </c>
      <c r="J114">
        <f>SUM(Student_Dataset[[#This Row],[Mathematics]:[Computer Science]])</f>
        <v>364</v>
      </c>
      <c r="K114">
        <v>500</v>
      </c>
      <c r="L114">
        <f t="shared" si="6"/>
        <v>72.8</v>
      </c>
      <c r="M114" t="str">
        <f t="shared" si="7"/>
        <v>C Grade</v>
      </c>
    </row>
    <row r="115" spans="1:13" x14ac:dyDescent="0.25">
      <c r="A115" t="s">
        <v>367</v>
      </c>
      <c r="B115" t="s">
        <v>221</v>
      </c>
      <c r="C115" t="s">
        <v>132</v>
      </c>
      <c r="D115">
        <v>49</v>
      </c>
      <c r="E115">
        <v>43</v>
      </c>
      <c r="F115">
        <v>86</v>
      </c>
      <c r="G115">
        <v>97</v>
      </c>
      <c r="H115">
        <v>44</v>
      </c>
      <c r="I115">
        <v>41</v>
      </c>
      <c r="J115">
        <f>SUM(Student_Dataset[[#This Row],[Mathematics]:[Computer Science]])</f>
        <v>360</v>
      </c>
      <c r="K115">
        <v>500</v>
      </c>
      <c r="L115">
        <f t="shared" si="6"/>
        <v>72</v>
      </c>
      <c r="M115" t="str">
        <f t="shared" si="7"/>
        <v>C Grade</v>
      </c>
    </row>
    <row r="116" spans="1:13" x14ac:dyDescent="0.25">
      <c r="A116" t="s">
        <v>352</v>
      </c>
      <c r="B116" t="s">
        <v>107</v>
      </c>
      <c r="C116" t="s">
        <v>132</v>
      </c>
      <c r="D116">
        <v>46</v>
      </c>
      <c r="E116">
        <v>41</v>
      </c>
      <c r="F116">
        <v>49</v>
      </c>
      <c r="G116">
        <v>54</v>
      </c>
      <c r="H116">
        <v>55</v>
      </c>
      <c r="I116">
        <v>89</v>
      </c>
      <c r="J116">
        <f>SUM(Student_Dataset[[#This Row],[Mathematics]:[Computer Science]])</f>
        <v>334</v>
      </c>
      <c r="K116">
        <v>500</v>
      </c>
      <c r="L116">
        <f t="shared" si="6"/>
        <v>66.8</v>
      </c>
      <c r="M116" t="str">
        <f t="shared" si="7"/>
        <v>C Grade</v>
      </c>
    </row>
    <row r="117" spans="1:13" x14ac:dyDescent="0.25">
      <c r="A117" t="s">
        <v>348</v>
      </c>
      <c r="B117" t="s">
        <v>324</v>
      </c>
      <c r="C117" t="s">
        <v>132</v>
      </c>
      <c r="D117">
        <v>46</v>
      </c>
      <c r="E117">
        <v>62</v>
      </c>
      <c r="F117">
        <v>37</v>
      </c>
      <c r="G117">
        <v>41</v>
      </c>
      <c r="H117">
        <v>77</v>
      </c>
      <c r="I117">
        <v>66</v>
      </c>
      <c r="J117">
        <f>SUM(Student_Dataset[[#This Row],[Mathematics]:[Computer Science]])</f>
        <v>329</v>
      </c>
      <c r="K117">
        <v>500</v>
      </c>
      <c r="L117">
        <f t="shared" si="6"/>
        <v>65.8</v>
      </c>
      <c r="M117" t="str">
        <f t="shared" si="7"/>
        <v>C Grade</v>
      </c>
    </row>
    <row r="118" spans="1:13" x14ac:dyDescent="0.25">
      <c r="A118" t="s">
        <v>343</v>
      </c>
      <c r="B118" t="s">
        <v>262</v>
      </c>
      <c r="C118" t="s">
        <v>132</v>
      </c>
      <c r="D118">
        <v>50</v>
      </c>
      <c r="E118">
        <v>38</v>
      </c>
      <c r="F118">
        <v>65</v>
      </c>
      <c r="G118">
        <v>55</v>
      </c>
      <c r="H118">
        <v>74</v>
      </c>
      <c r="I118">
        <v>36</v>
      </c>
      <c r="J118">
        <f>SUM(Student_Dataset[[#This Row],[Mathematics]:[Computer Science]])</f>
        <v>318</v>
      </c>
      <c r="K118">
        <v>500</v>
      </c>
      <c r="L118">
        <f t="shared" si="6"/>
        <v>63.6</v>
      </c>
      <c r="M118" t="str">
        <f t="shared" si="7"/>
        <v>C Grade</v>
      </c>
    </row>
    <row r="119" spans="1:13" x14ac:dyDescent="0.25">
      <c r="A119" t="s">
        <v>342</v>
      </c>
      <c r="B119" t="s">
        <v>288</v>
      </c>
      <c r="C119" t="s">
        <v>132</v>
      </c>
      <c r="D119">
        <v>43</v>
      </c>
      <c r="E119">
        <v>46</v>
      </c>
      <c r="F119">
        <v>45</v>
      </c>
      <c r="G119">
        <v>46</v>
      </c>
      <c r="H119">
        <v>90</v>
      </c>
      <c r="I119">
        <v>47</v>
      </c>
      <c r="J119">
        <f>SUM(Student_Dataset[[#This Row],[Mathematics]:[Computer Science]])</f>
        <v>317</v>
      </c>
      <c r="K119">
        <v>500</v>
      </c>
      <c r="L119">
        <f t="shared" si="6"/>
        <v>63.4</v>
      </c>
      <c r="M119" t="str">
        <f t="shared" si="7"/>
        <v>C Grade</v>
      </c>
    </row>
    <row r="120" spans="1:13" x14ac:dyDescent="0.25">
      <c r="A120" t="s">
        <v>340</v>
      </c>
      <c r="B120" t="s">
        <v>235</v>
      </c>
      <c r="C120" t="s">
        <v>132</v>
      </c>
      <c r="D120">
        <v>44</v>
      </c>
      <c r="E120">
        <v>45</v>
      </c>
      <c r="F120">
        <v>76</v>
      </c>
      <c r="G120">
        <v>53</v>
      </c>
      <c r="H120">
        <v>43</v>
      </c>
      <c r="I120">
        <v>51</v>
      </c>
      <c r="J120">
        <f>SUM(Student_Dataset[[#This Row],[Mathematics]:[Computer Science]])</f>
        <v>312</v>
      </c>
      <c r="K120">
        <v>500</v>
      </c>
      <c r="L120">
        <f t="shared" si="6"/>
        <v>62.4</v>
      </c>
      <c r="M120" t="str">
        <f t="shared" si="7"/>
        <v>C Grade</v>
      </c>
    </row>
    <row r="121" spans="1:13" x14ac:dyDescent="0.25">
      <c r="A121" t="s">
        <v>479</v>
      </c>
      <c r="B121" t="s">
        <v>242</v>
      </c>
      <c r="C121" t="s">
        <v>124</v>
      </c>
      <c r="D121">
        <v>96</v>
      </c>
      <c r="E121">
        <v>94</v>
      </c>
      <c r="F121">
        <v>90</v>
      </c>
      <c r="G121">
        <v>69</v>
      </c>
      <c r="H121">
        <v>76</v>
      </c>
      <c r="I121">
        <v>66</v>
      </c>
      <c r="J121">
        <f>SUM(Student_Dataset[[#This Row],[Mathematics]:[Computer Science]])</f>
        <v>491</v>
      </c>
      <c r="K121">
        <v>500</v>
      </c>
      <c r="L121">
        <f t="shared" si="6"/>
        <v>98.2</v>
      </c>
      <c r="M121" t="str">
        <f t="shared" si="7"/>
        <v>A Grade</v>
      </c>
    </row>
    <row r="122" spans="1:13" x14ac:dyDescent="0.25">
      <c r="A122" t="s">
        <v>477</v>
      </c>
      <c r="B122" t="s">
        <v>112</v>
      </c>
      <c r="C122" t="s">
        <v>124</v>
      </c>
      <c r="D122">
        <v>60</v>
      </c>
      <c r="E122">
        <v>74</v>
      </c>
      <c r="F122">
        <v>86</v>
      </c>
      <c r="G122">
        <v>82</v>
      </c>
      <c r="H122">
        <v>91</v>
      </c>
      <c r="I122">
        <v>92</v>
      </c>
      <c r="J122">
        <f>SUM(Student_Dataset[[#This Row],[Mathematics]:[Computer Science]])</f>
        <v>485</v>
      </c>
      <c r="K122">
        <v>500</v>
      </c>
      <c r="L122">
        <f t="shared" si="6"/>
        <v>97</v>
      </c>
      <c r="M122" t="str">
        <f t="shared" si="7"/>
        <v>A Grade</v>
      </c>
    </row>
    <row r="123" spans="1:13" x14ac:dyDescent="0.25">
      <c r="A123" t="s">
        <v>484</v>
      </c>
      <c r="B123" t="s">
        <v>233</v>
      </c>
      <c r="C123" t="s">
        <v>124</v>
      </c>
      <c r="D123">
        <v>69</v>
      </c>
      <c r="E123">
        <v>88</v>
      </c>
      <c r="F123">
        <v>96</v>
      </c>
      <c r="G123">
        <v>78</v>
      </c>
      <c r="H123">
        <v>78</v>
      </c>
      <c r="I123">
        <v>68</v>
      </c>
      <c r="J123">
        <f>SUM(Student_Dataset[[#This Row],[Mathematics]:[Computer Science]])</f>
        <v>477</v>
      </c>
      <c r="K123">
        <v>500</v>
      </c>
      <c r="L123">
        <f t="shared" si="6"/>
        <v>95.399999999999991</v>
      </c>
      <c r="M123" t="str">
        <f t="shared" si="7"/>
        <v>A Grade</v>
      </c>
    </row>
    <row r="124" spans="1:13" x14ac:dyDescent="0.25">
      <c r="A124" t="s">
        <v>468</v>
      </c>
      <c r="B124" t="s">
        <v>266</v>
      </c>
      <c r="C124" t="s">
        <v>124</v>
      </c>
      <c r="D124">
        <v>92</v>
      </c>
      <c r="E124">
        <v>55</v>
      </c>
      <c r="F124">
        <v>95</v>
      </c>
      <c r="G124">
        <v>92</v>
      </c>
      <c r="H124">
        <v>68</v>
      </c>
      <c r="I124">
        <v>66</v>
      </c>
      <c r="J124">
        <f>SUM(Student_Dataset[[#This Row],[Mathematics]:[Computer Science]])</f>
        <v>468</v>
      </c>
      <c r="K124">
        <v>500</v>
      </c>
      <c r="L124">
        <f t="shared" si="6"/>
        <v>93.600000000000009</v>
      </c>
      <c r="M124" t="str">
        <f t="shared" si="7"/>
        <v>A Grade</v>
      </c>
    </row>
    <row r="125" spans="1:13" x14ac:dyDescent="0.25">
      <c r="A125" t="s">
        <v>462</v>
      </c>
      <c r="B125" t="s">
        <v>239</v>
      </c>
      <c r="C125" t="s">
        <v>124</v>
      </c>
      <c r="D125">
        <v>62</v>
      </c>
      <c r="E125">
        <v>83</v>
      </c>
      <c r="F125">
        <v>88</v>
      </c>
      <c r="G125">
        <v>93</v>
      </c>
      <c r="H125">
        <v>78</v>
      </c>
      <c r="I125">
        <v>55</v>
      </c>
      <c r="J125">
        <f>SUM(Student_Dataset[[#This Row],[Mathematics]:[Computer Science]])</f>
        <v>459</v>
      </c>
      <c r="K125">
        <v>500</v>
      </c>
      <c r="L125">
        <f t="shared" si="6"/>
        <v>91.8</v>
      </c>
      <c r="M125" t="str">
        <f t="shared" si="7"/>
        <v>A Grade</v>
      </c>
    </row>
    <row r="126" spans="1:13" x14ac:dyDescent="0.25">
      <c r="A126" t="s">
        <v>449</v>
      </c>
      <c r="B126" t="s">
        <v>307</v>
      </c>
      <c r="C126" t="s">
        <v>124</v>
      </c>
      <c r="D126">
        <v>98</v>
      </c>
      <c r="E126">
        <v>91</v>
      </c>
      <c r="F126">
        <v>45</v>
      </c>
      <c r="G126">
        <v>40</v>
      </c>
      <c r="H126">
        <v>90</v>
      </c>
      <c r="I126">
        <v>76</v>
      </c>
      <c r="J126">
        <f>SUM(Student_Dataset[[#This Row],[Mathematics]:[Computer Science]])</f>
        <v>440</v>
      </c>
      <c r="K126">
        <v>500</v>
      </c>
      <c r="L126">
        <f t="shared" si="6"/>
        <v>88</v>
      </c>
      <c r="M126" t="str">
        <f t="shared" si="7"/>
        <v>B Grade</v>
      </c>
    </row>
    <row r="127" spans="1:13" x14ac:dyDescent="0.25">
      <c r="A127" t="s">
        <v>446</v>
      </c>
      <c r="B127" t="s">
        <v>275</v>
      </c>
      <c r="C127" t="s">
        <v>124</v>
      </c>
      <c r="D127">
        <v>97</v>
      </c>
      <c r="E127">
        <v>65</v>
      </c>
      <c r="F127">
        <v>70</v>
      </c>
      <c r="G127">
        <v>91</v>
      </c>
      <c r="H127">
        <v>44</v>
      </c>
      <c r="I127">
        <v>71</v>
      </c>
      <c r="J127">
        <f>SUM(Student_Dataset[[#This Row],[Mathematics]:[Computer Science]])</f>
        <v>438</v>
      </c>
      <c r="K127">
        <v>500</v>
      </c>
      <c r="L127">
        <f t="shared" si="6"/>
        <v>87.6</v>
      </c>
      <c r="M127" t="str">
        <f t="shared" si="7"/>
        <v>B Grade</v>
      </c>
    </row>
    <row r="128" spans="1:13" x14ac:dyDescent="0.25">
      <c r="A128" t="s">
        <v>444</v>
      </c>
      <c r="B128" t="s">
        <v>243</v>
      </c>
      <c r="C128" t="s">
        <v>124</v>
      </c>
      <c r="D128">
        <v>76</v>
      </c>
      <c r="E128">
        <v>63</v>
      </c>
      <c r="F128">
        <v>43</v>
      </c>
      <c r="G128">
        <v>94</v>
      </c>
      <c r="H128">
        <v>73</v>
      </c>
      <c r="I128">
        <v>87</v>
      </c>
      <c r="J128">
        <f>SUM(Student_Dataset[[#This Row],[Mathematics]:[Computer Science]])</f>
        <v>436</v>
      </c>
      <c r="K128">
        <v>500</v>
      </c>
      <c r="L128">
        <f t="shared" si="6"/>
        <v>87.2</v>
      </c>
      <c r="M128" t="str">
        <f t="shared" si="7"/>
        <v>B Grade</v>
      </c>
    </row>
    <row r="129" spans="1:13" x14ac:dyDescent="0.25">
      <c r="A129" t="s">
        <v>431</v>
      </c>
      <c r="B129" t="s">
        <v>226</v>
      </c>
      <c r="C129" t="s">
        <v>124</v>
      </c>
      <c r="D129">
        <v>59</v>
      </c>
      <c r="E129">
        <v>45</v>
      </c>
      <c r="F129">
        <v>65</v>
      </c>
      <c r="G129">
        <v>87</v>
      </c>
      <c r="H129">
        <v>97</v>
      </c>
      <c r="I129">
        <v>65</v>
      </c>
      <c r="J129">
        <f>SUM(Student_Dataset[[#This Row],[Mathematics]:[Computer Science]])</f>
        <v>418</v>
      </c>
      <c r="K129">
        <v>500</v>
      </c>
      <c r="L129">
        <f t="shared" si="6"/>
        <v>83.6</v>
      </c>
      <c r="M129" t="str">
        <f t="shared" si="7"/>
        <v>B Grade</v>
      </c>
    </row>
    <row r="130" spans="1:13" x14ac:dyDescent="0.25">
      <c r="A130" t="s">
        <v>429</v>
      </c>
      <c r="B130" t="s">
        <v>309</v>
      </c>
      <c r="C130" t="s">
        <v>124</v>
      </c>
      <c r="D130">
        <v>58</v>
      </c>
      <c r="E130">
        <v>59</v>
      </c>
      <c r="F130">
        <v>62</v>
      </c>
      <c r="G130">
        <v>96</v>
      </c>
      <c r="H130">
        <v>70</v>
      </c>
      <c r="I130">
        <v>71</v>
      </c>
      <c r="J130">
        <f>SUM(Student_Dataset[[#This Row],[Mathematics]:[Computer Science]])</f>
        <v>416</v>
      </c>
      <c r="K130">
        <v>500</v>
      </c>
      <c r="L130">
        <f t="shared" ref="L130:L151" si="8">(J130/K130)*100</f>
        <v>83.2</v>
      </c>
      <c r="M130" t="str">
        <f t="shared" ref="M130:M151" si="9">IF(L130&gt;=90,"A Grade",IF(L130&gt;=75,"B Grade",IF(L130&gt;=60,"C Grade",IF(L130&gt;=50,"D Grade","Fail"))))</f>
        <v>B Grade</v>
      </c>
    </row>
    <row r="131" spans="1:13" x14ac:dyDescent="0.25">
      <c r="A131" t="s">
        <v>425</v>
      </c>
      <c r="B131" t="s">
        <v>222</v>
      </c>
      <c r="C131" t="s">
        <v>124</v>
      </c>
      <c r="D131">
        <v>48</v>
      </c>
      <c r="E131">
        <v>92</v>
      </c>
      <c r="F131">
        <v>99</v>
      </c>
      <c r="G131">
        <v>63</v>
      </c>
      <c r="H131">
        <v>40</v>
      </c>
      <c r="I131">
        <v>73</v>
      </c>
      <c r="J131">
        <f>SUM(Student_Dataset[[#This Row],[Mathematics]:[Computer Science]])</f>
        <v>415</v>
      </c>
      <c r="K131">
        <v>500</v>
      </c>
      <c r="L131">
        <f t="shared" si="8"/>
        <v>83</v>
      </c>
      <c r="M131" t="str">
        <f t="shared" si="9"/>
        <v>B Grade</v>
      </c>
    </row>
    <row r="132" spans="1:13" x14ac:dyDescent="0.25">
      <c r="A132" t="s">
        <v>411</v>
      </c>
      <c r="B132" t="s">
        <v>249</v>
      </c>
      <c r="C132" t="s">
        <v>124</v>
      </c>
      <c r="D132">
        <v>87</v>
      </c>
      <c r="E132">
        <v>54</v>
      </c>
      <c r="F132">
        <v>65</v>
      </c>
      <c r="G132">
        <v>55</v>
      </c>
      <c r="H132">
        <v>57</v>
      </c>
      <c r="I132">
        <v>87</v>
      </c>
      <c r="J132">
        <f>SUM(Student_Dataset[[#This Row],[Mathematics]:[Computer Science]])</f>
        <v>405</v>
      </c>
      <c r="K132">
        <v>500</v>
      </c>
      <c r="L132">
        <f t="shared" si="8"/>
        <v>81</v>
      </c>
      <c r="M132" t="str">
        <f t="shared" si="9"/>
        <v>B Grade</v>
      </c>
    </row>
    <row r="133" spans="1:13" x14ac:dyDescent="0.25">
      <c r="A133" t="s">
        <v>408</v>
      </c>
      <c r="B133" t="s">
        <v>75</v>
      </c>
      <c r="C133" t="s">
        <v>124</v>
      </c>
      <c r="D133">
        <v>88</v>
      </c>
      <c r="E133">
        <v>63</v>
      </c>
      <c r="F133">
        <v>92</v>
      </c>
      <c r="G133">
        <v>70</v>
      </c>
      <c r="H133">
        <v>35</v>
      </c>
      <c r="I133">
        <v>55</v>
      </c>
      <c r="J133">
        <f>SUM(Student_Dataset[[#This Row],[Mathematics]:[Computer Science]])</f>
        <v>403</v>
      </c>
      <c r="K133">
        <v>500</v>
      </c>
      <c r="L133">
        <f t="shared" si="8"/>
        <v>80.600000000000009</v>
      </c>
      <c r="M133" t="str">
        <f t="shared" si="9"/>
        <v>B Grade</v>
      </c>
    </row>
    <row r="134" spans="1:13" x14ac:dyDescent="0.25">
      <c r="A134" t="s">
        <v>406</v>
      </c>
      <c r="B134" t="s">
        <v>293</v>
      </c>
      <c r="C134" t="s">
        <v>124</v>
      </c>
      <c r="D134">
        <v>83</v>
      </c>
      <c r="E134">
        <v>75</v>
      </c>
      <c r="F134">
        <v>97</v>
      </c>
      <c r="G134">
        <v>39</v>
      </c>
      <c r="H134">
        <v>43</v>
      </c>
      <c r="I134">
        <v>65</v>
      </c>
      <c r="J134">
        <f>SUM(Student_Dataset[[#This Row],[Mathematics]:[Computer Science]])</f>
        <v>402</v>
      </c>
      <c r="K134">
        <v>500</v>
      </c>
      <c r="L134">
        <f t="shared" si="8"/>
        <v>80.400000000000006</v>
      </c>
      <c r="M134" t="str">
        <f t="shared" si="9"/>
        <v>B Grade</v>
      </c>
    </row>
    <row r="135" spans="1:13" x14ac:dyDescent="0.25">
      <c r="A135" t="s">
        <v>403</v>
      </c>
      <c r="B135" t="s">
        <v>297</v>
      </c>
      <c r="C135" t="s">
        <v>124</v>
      </c>
      <c r="D135">
        <v>69</v>
      </c>
      <c r="E135">
        <v>35</v>
      </c>
      <c r="F135">
        <v>71</v>
      </c>
      <c r="G135">
        <v>73</v>
      </c>
      <c r="H135">
        <v>97</v>
      </c>
      <c r="I135">
        <v>54</v>
      </c>
      <c r="J135">
        <f>SUM(Student_Dataset[[#This Row],[Mathematics]:[Computer Science]])</f>
        <v>399</v>
      </c>
      <c r="K135">
        <v>500</v>
      </c>
      <c r="L135">
        <f t="shared" si="8"/>
        <v>79.800000000000011</v>
      </c>
      <c r="M135" t="str">
        <f t="shared" si="9"/>
        <v>B Grade</v>
      </c>
    </row>
    <row r="136" spans="1:13" x14ac:dyDescent="0.25">
      <c r="A136" t="s">
        <v>397</v>
      </c>
      <c r="B136" t="s">
        <v>253</v>
      </c>
      <c r="C136" t="s">
        <v>124</v>
      </c>
      <c r="D136">
        <v>54</v>
      </c>
      <c r="E136">
        <v>69</v>
      </c>
      <c r="F136">
        <v>71</v>
      </c>
      <c r="G136">
        <v>61</v>
      </c>
      <c r="H136">
        <v>78</v>
      </c>
      <c r="I136">
        <v>61</v>
      </c>
      <c r="J136">
        <f>SUM(Student_Dataset[[#This Row],[Mathematics]:[Computer Science]])</f>
        <v>394</v>
      </c>
      <c r="K136">
        <v>500</v>
      </c>
      <c r="L136">
        <f t="shared" si="8"/>
        <v>78.8</v>
      </c>
      <c r="M136" t="str">
        <f t="shared" si="9"/>
        <v>B Grade</v>
      </c>
    </row>
    <row r="137" spans="1:13" x14ac:dyDescent="0.25">
      <c r="A137" t="s">
        <v>365</v>
      </c>
      <c r="B137" t="s">
        <v>151</v>
      </c>
      <c r="C137" t="s">
        <v>124</v>
      </c>
      <c r="D137">
        <v>63</v>
      </c>
      <c r="E137">
        <v>76</v>
      </c>
      <c r="F137">
        <v>42</v>
      </c>
      <c r="G137">
        <v>64</v>
      </c>
      <c r="H137">
        <v>39</v>
      </c>
      <c r="I137">
        <v>75</v>
      </c>
      <c r="J137">
        <f>SUM(Student_Dataset[[#This Row],[Mathematics]:[Computer Science]])</f>
        <v>359</v>
      </c>
      <c r="K137">
        <v>500</v>
      </c>
      <c r="L137">
        <f t="shared" si="8"/>
        <v>71.8</v>
      </c>
      <c r="M137" t="str">
        <f t="shared" si="9"/>
        <v>C Grade</v>
      </c>
    </row>
    <row r="138" spans="1:13" x14ac:dyDescent="0.25">
      <c r="A138" t="s">
        <v>346</v>
      </c>
      <c r="B138" t="s">
        <v>264</v>
      </c>
      <c r="C138" t="s">
        <v>124</v>
      </c>
      <c r="D138">
        <v>63</v>
      </c>
      <c r="E138">
        <v>54</v>
      </c>
      <c r="F138">
        <v>69</v>
      </c>
      <c r="G138">
        <v>53</v>
      </c>
      <c r="H138">
        <v>44</v>
      </c>
      <c r="I138">
        <v>42</v>
      </c>
      <c r="J138">
        <f>SUM(Student_Dataset[[#This Row],[Mathematics]:[Computer Science]])</f>
        <v>325</v>
      </c>
      <c r="K138">
        <v>500</v>
      </c>
      <c r="L138">
        <f t="shared" si="8"/>
        <v>65</v>
      </c>
      <c r="M138" t="str">
        <f t="shared" si="9"/>
        <v>C Grade</v>
      </c>
    </row>
    <row r="139" spans="1:13" x14ac:dyDescent="0.25">
      <c r="A139" t="s">
        <v>337</v>
      </c>
      <c r="B139" t="s">
        <v>320</v>
      </c>
      <c r="C139" t="s">
        <v>124</v>
      </c>
      <c r="D139">
        <v>47</v>
      </c>
      <c r="E139">
        <v>41</v>
      </c>
      <c r="F139">
        <v>36</v>
      </c>
      <c r="G139">
        <v>46</v>
      </c>
      <c r="H139">
        <v>65</v>
      </c>
      <c r="I139">
        <v>56</v>
      </c>
      <c r="J139">
        <f>SUM(Student_Dataset[[#This Row],[Mathematics]:[Computer Science]])</f>
        <v>291</v>
      </c>
      <c r="K139">
        <v>500</v>
      </c>
      <c r="L139">
        <f t="shared" si="8"/>
        <v>58.199999999999996</v>
      </c>
      <c r="M139" t="str">
        <f t="shared" si="9"/>
        <v>D Grade</v>
      </c>
    </row>
    <row r="140" spans="1:13" x14ac:dyDescent="0.25">
      <c r="A140" t="s">
        <v>497</v>
      </c>
      <c r="B140" t="s">
        <v>306</v>
      </c>
      <c r="C140" t="s">
        <v>350</v>
      </c>
      <c r="D140">
        <v>76</v>
      </c>
      <c r="E140">
        <v>83</v>
      </c>
      <c r="F140">
        <v>72</v>
      </c>
      <c r="G140">
        <v>93</v>
      </c>
      <c r="H140">
        <v>76</v>
      </c>
      <c r="I140">
        <v>87</v>
      </c>
      <c r="J140">
        <f>SUM(Student_Dataset[[#This Row],[Mathematics]:[Computer Science]])</f>
        <v>487</v>
      </c>
      <c r="K140">
        <v>500</v>
      </c>
      <c r="L140">
        <f t="shared" si="8"/>
        <v>97.399999999999991</v>
      </c>
      <c r="M140" t="str">
        <f t="shared" si="9"/>
        <v>A Grade</v>
      </c>
    </row>
    <row r="141" spans="1:13" x14ac:dyDescent="0.25">
      <c r="A141" t="s">
        <v>476</v>
      </c>
      <c r="B141" t="s">
        <v>326</v>
      </c>
      <c r="C141" t="s">
        <v>350</v>
      </c>
      <c r="D141">
        <v>90</v>
      </c>
      <c r="E141">
        <v>79</v>
      </c>
      <c r="F141">
        <v>75</v>
      </c>
      <c r="G141">
        <v>90</v>
      </c>
      <c r="H141">
        <v>100</v>
      </c>
      <c r="I141">
        <v>49</v>
      </c>
      <c r="J141">
        <f>SUM(Student_Dataset[[#This Row],[Mathematics]:[Computer Science]])</f>
        <v>483</v>
      </c>
      <c r="K141">
        <v>500</v>
      </c>
      <c r="L141">
        <f t="shared" si="8"/>
        <v>96.6</v>
      </c>
      <c r="M141" t="str">
        <f t="shared" si="9"/>
        <v>A Grade</v>
      </c>
    </row>
    <row r="142" spans="1:13" x14ac:dyDescent="0.25">
      <c r="A142" t="s">
        <v>504</v>
      </c>
      <c r="B142" t="s">
        <v>265</v>
      </c>
      <c r="C142" t="s">
        <v>350</v>
      </c>
      <c r="D142">
        <v>76</v>
      </c>
      <c r="E142">
        <v>56</v>
      </c>
      <c r="F142">
        <v>89</v>
      </c>
      <c r="G142">
        <v>85</v>
      </c>
      <c r="H142">
        <v>62</v>
      </c>
      <c r="I142">
        <v>100</v>
      </c>
      <c r="J142">
        <f>SUM(Student_Dataset[[#This Row],[Mathematics]:[Computer Science]])</f>
        <v>468</v>
      </c>
      <c r="K142">
        <v>500</v>
      </c>
      <c r="L142">
        <f t="shared" si="8"/>
        <v>93.600000000000009</v>
      </c>
      <c r="M142" t="str">
        <f t="shared" si="9"/>
        <v>A Grade</v>
      </c>
    </row>
    <row r="143" spans="1:13" x14ac:dyDescent="0.25">
      <c r="A143" t="s">
        <v>454</v>
      </c>
      <c r="B143" t="s">
        <v>318</v>
      </c>
      <c r="C143" t="s">
        <v>350</v>
      </c>
      <c r="D143">
        <v>84</v>
      </c>
      <c r="E143">
        <v>64</v>
      </c>
      <c r="F143">
        <v>87</v>
      </c>
      <c r="G143">
        <v>40</v>
      </c>
      <c r="H143">
        <v>75</v>
      </c>
      <c r="I143">
        <v>95</v>
      </c>
      <c r="J143">
        <f>SUM(Student_Dataset[[#This Row],[Mathematics]:[Computer Science]])</f>
        <v>445</v>
      </c>
      <c r="K143">
        <v>500</v>
      </c>
      <c r="L143">
        <f t="shared" si="8"/>
        <v>89</v>
      </c>
      <c r="M143" t="str">
        <f t="shared" si="9"/>
        <v>B Grade</v>
      </c>
    </row>
    <row r="144" spans="1:13" x14ac:dyDescent="0.25">
      <c r="A144" t="s">
        <v>420</v>
      </c>
      <c r="B144" t="s">
        <v>287</v>
      </c>
      <c r="C144" t="s">
        <v>350</v>
      </c>
      <c r="D144">
        <v>98</v>
      </c>
      <c r="E144">
        <v>91</v>
      </c>
      <c r="F144">
        <v>41</v>
      </c>
      <c r="G144">
        <v>61</v>
      </c>
      <c r="H144">
        <v>69</v>
      </c>
      <c r="I144">
        <v>51</v>
      </c>
      <c r="J144">
        <f>SUM(Student_Dataset[[#This Row],[Mathematics]:[Computer Science]])</f>
        <v>411</v>
      </c>
      <c r="K144">
        <v>500</v>
      </c>
      <c r="L144">
        <f t="shared" si="8"/>
        <v>82.199999999999989</v>
      </c>
      <c r="M144" t="str">
        <f t="shared" si="9"/>
        <v>B Grade</v>
      </c>
    </row>
    <row r="145" spans="1:13" x14ac:dyDescent="0.25">
      <c r="A145" t="s">
        <v>399</v>
      </c>
      <c r="B145" t="s">
        <v>298</v>
      </c>
      <c r="C145" t="s">
        <v>350</v>
      </c>
      <c r="D145">
        <v>42</v>
      </c>
      <c r="E145">
        <v>75</v>
      </c>
      <c r="F145">
        <v>42</v>
      </c>
      <c r="G145">
        <v>41</v>
      </c>
      <c r="H145">
        <v>96</v>
      </c>
      <c r="I145">
        <v>99</v>
      </c>
      <c r="J145">
        <f>SUM(Student_Dataset[[#This Row],[Mathematics]:[Computer Science]])</f>
        <v>395</v>
      </c>
      <c r="K145">
        <v>500</v>
      </c>
      <c r="L145">
        <f t="shared" si="8"/>
        <v>79</v>
      </c>
      <c r="M145" t="str">
        <f t="shared" si="9"/>
        <v>B Grade</v>
      </c>
    </row>
    <row r="146" spans="1:13" x14ac:dyDescent="0.25">
      <c r="A146" t="s">
        <v>390</v>
      </c>
      <c r="B146" t="s">
        <v>289</v>
      </c>
      <c r="C146" t="s">
        <v>350</v>
      </c>
      <c r="D146">
        <v>73</v>
      </c>
      <c r="E146">
        <v>45</v>
      </c>
      <c r="F146">
        <v>66</v>
      </c>
      <c r="G146">
        <v>50</v>
      </c>
      <c r="H146">
        <v>88</v>
      </c>
      <c r="I146">
        <v>63</v>
      </c>
      <c r="J146">
        <f>SUM(Student_Dataset[[#This Row],[Mathematics]:[Computer Science]])</f>
        <v>385</v>
      </c>
      <c r="K146">
        <v>500</v>
      </c>
      <c r="L146">
        <f t="shared" si="8"/>
        <v>77</v>
      </c>
      <c r="M146" t="str">
        <f t="shared" si="9"/>
        <v>B Grade</v>
      </c>
    </row>
    <row r="147" spans="1:13" x14ac:dyDescent="0.25">
      <c r="A147" t="s">
        <v>385</v>
      </c>
      <c r="B147" t="s">
        <v>332</v>
      </c>
      <c r="C147" t="s">
        <v>350</v>
      </c>
      <c r="D147">
        <v>66</v>
      </c>
      <c r="E147">
        <v>40</v>
      </c>
      <c r="F147">
        <v>45</v>
      </c>
      <c r="G147">
        <v>88</v>
      </c>
      <c r="H147">
        <v>75</v>
      </c>
      <c r="I147">
        <v>68</v>
      </c>
      <c r="J147">
        <f>SUM(Student_Dataset[[#This Row],[Mathematics]:[Computer Science]])</f>
        <v>382</v>
      </c>
      <c r="K147">
        <v>500</v>
      </c>
      <c r="L147">
        <f t="shared" si="8"/>
        <v>76.400000000000006</v>
      </c>
      <c r="M147" t="str">
        <f t="shared" si="9"/>
        <v>B Grade</v>
      </c>
    </row>
    <row r="148" spans="1:13" x14ac:dyDescent="0.25">
      <c r="A148" t="s">
        <v>381</v>
      </c>
      <c r="B148" t="s">
        <v>333</v>
      </c>
      <c r="C148" t="s">
        <v>350</v>
      </c>
      <c r="D148">
        <v>38</v>
      </c>
      <c r="E148">
        <v>45</v>
      </c>
      <c r="F148">
        <v>89</v>
      </c>
      <c r="G148">
        <v>52</v>
      </c>
      <c r="H148">
        <v>94</v>
      </c>
      <c r="I148">
        <v>58</v>
      </c>
      <c r="J148">
        <f>SUM(Student_Dataset[[#This Row],[Mathematics]:[Computer Science]])</f>
        <v>376</v>
      </c>
      <c r="K148">
        <v>500</v>
      </c>
      <c r="L148">
        <f t="shared" si="8"/>
        <v>75.2</v>
      </c>
      <c r="M148" t="str">
        <f t="shared" si="9"/>
        <v>B Grade</v>
      </c>
    </row>
    <row r="149" spans="1:13" x14ac:dyDescent="0.25">
      <c r="A149" t="s">
        <v>373</v>
      </c>
      <c r="B149" t="s">
        <v>280</v>
      </c>
      <c r="C149" t="s">
        <v>350</v>
      </c>
      <c r="D149">
        <v>61</v>
      </c>
      <c r="E149">
        <v>43</v>
      </c>
      <c r="F149">
        <v>61</v>
      </c>
      <c r="G149">
        <v>62</v>
      </c>
      <c r="H149">
        <v>64</v>
      </c>
      <c r="I149">
        <v>77</v>
      </c>
      <c r="J149">
        <f>SUM(Student_Dataset[[#This Row],[Mathematics]:[Computer Science]])</f>
        <v>368</v>
      </c>
      <c r="K149">
        <v>500</v>
      </c>
      <c r="L149">
        <f t="shared" si="8"/>
        <v>73.599999999999994</v>
      </c>
      <c r="M149" t="str">
        <f t="shared" si="9"/>
        <v>C Grade</v>
      </c>
    </row>
    <row r="150" spans="1:13" x14ac:dyDescent="0.25">
      <c r="A150" t="s">
        <v>359</v>
      </c>
      <c r="B150" t="s">
        <v>283</v>
      </c>
      <c r="C150" t="s">
        <v>350</v>
      </c>
      <c r="D150">
        <v>59</v>
      </c>
      <c r="E150">
        <v>67</v>
      </c>
      <c r="F150">
        <v>40</v>
      </c>
      <c r="G150">
        <v>90</v>
      </c>
      <c r="H150">
        <v>35</v>
      </c>
      <c r="I150">
        <v>60</v>
      </c>
      <c r="J150">
        <f>SUM(Student_Dataset[[#This Row],[Mathematics]:[Computer Science]])</f>
        <v>351</v>
      </c>
      <c r="K150">
        <v>500</v>
      </c>
      <c r="L150">
        <f t="shared" si="8"/>
        <v>70.199999999999989</v>
      </c>
      <c r="M150" t="str">
        <f t="shared" si="9"/>
        <v>C Grade</v>
      </c>
    </row>
    <row r="151" spans="1:13" x14ac:dyDescent="0.25">
      <c r="A151" t="s">
        <v>351</v>
      </c>
      <c r="B151" t="s">
        <v>223</v>
      </c>
      <c r="C151" t="s">
        <v>350</v>
      </c>
      <c r="D151">
        <v>35</v>
      </c>
      <c r="E151">
        <v>70</v>
      </c>
      <c r="F151">
        <v>53</v>
      </c>
      <c r="G151">
        <v>51</v>
      </c>
      <c r="H151">
        <v>67</v>
      </c>
      <c r="I151">
        <v>57</v>
      </c>
      <c r="J151">
        <f>SUM(Student_Dataset[[#This Row],[Mathematics]:[Computer Science]])</f>
        <v>333</v>
      </c>
      <c r="K151">
        <v>500</v>
      </c>
      <c r="L151">
        <f t="shared" si="8"/>
        <v>66.600000000000009</v>
      </c>
      <c r="M151" t="str">
        <f t="shared" si="9"/>
        <v>C Grade</v>
      </c>
    </row>
    <row r="152" spans="1:13" x14ac:dyDescent="0.25">
      <c r="D152">
        <f t="shared" ref="D152:I152" si="10">SUM(D2:D151)</f>
        <v>10009</v>
      </c>
      <c r="E152">
        <f t="shared" si="10"/>
        <v>9868</v>
      </c>
      <c r="F152">
        <f t="shared" si="10"/>
        <v>10314</v>
      </c>
      <c r="G152">
        <f t="shared" si="10"/>
        <v>9872</v>
      </c>
      <c r="H152">
        <f t="shared" si="10"/>
        <v>10068</v>
      </c>
      <c r="I152">
        <f t="shared" si="10"/>
        <v>10426</v>
      </c>
    </row>
    <row r="154" spans="1:13" x14ac:dyDescent="0.25">
      <c r="A154" s="20"/>
      <c r="B154" s="19"/>
      <c r="C154" s="18"/>
    </row>
    <row r="155" spans="1:13" x14ac:dyDescent="0.25">
      <c r="A155" s="17"/>
      <c r="B155" s="16"/>
      <c r="C155" s="15"/>
    </row>
    <row r="156" spans="1:13" x14ac:dyDescent="0.25">
      <c r="A156" s="17"/>
      <c r="B156" s="16"/>
      <c r="C156" s="15"/>
      <c r="M156">
        <f>SUMIF(C2:C151,"10A",Student_Dataset[[Mathematics]:[Computer Science]])</f>
        <v>1369</v>
      </c>
    </row>
    <row r="157" spans="1:13" x14ac:dyDescent="0.25">
      <c r="A157" s="17"/>
      <c r="B157" s="16"/>
      <c r="C157" s="15"/>
    </row>
    <row r="158" spans="1:13" x14ac:dyDescent="0.25">
      <c r="A158" s="17"/>
      <c r="B158" s="16"/>
      <c r="C158" s="15"/>
    </row>
    <row r="159" spans="1:13" x14ac:dyDescent="0.25">
      <c r="A159" s="17"/>
      <c r="B159" s="16"/>
      <c r="C159" s="15"/>
    </row>
    <row r="160" spans="1:13" x14ac:dyDescent="0.25">
      <c r="A160" s="17"/>
      <c r="B160" s="16"/>
      <c r="C160" s="15"/>
    </row>
    <row r="161" spans="1:3" x14ac:dyDescent="0.25">
      <c r="A161" s="17"/>
      <c r="B161" s="16"/>
      <c r="C161" s="15"/>
    </row>
    <row r="162" spans="1:3" x14ac:dyDescent="0.25">
      <c r="A162" s="17"/>
      <c r="B162" s="16"/>
      <c r="C162" s="15"/>
    </row>
    <row r="163" spans="1:3" x14ac:dyDescent="0.25">
      <c r="A163" s="17"/>
      <c r="B163" s="16"/>
      <c r="C163" s="15"/>
    </row>
    <row r="164" spans="1:3" x14ac:dyDescent="0.25">
      <c r="A164" s="17"/>
      <c r="B164" s="16"/>
      <c r="C164" s="15"/>
    </row>
    <row r="165" spans="1:3" x14ac:dyDescent="0.25">
      <c r="A165" s="17"/>
      <c r="B165" s="16"/>
      <c r="C165" s="15"/>
    </row>
    <row r="166" spans="1:3" x14ac:dyDescent="0.25">
      <c r="A166" s="17"/>
      <c r="B166" s="16"/>
      <c r="C166" s="15"/>
    </row>
    <row r="167" spans="1:3" x14ac:dyDescent="0.25">
      <c r="A167" s="17"/>
      <c r="B167" s="16"/>
      <c r="C167" s="15"/>
    </row>
    <row r="168" spans="1:3" x14ac:dyDescent="0.25">
      <c r="A168" s="17"/>
      <c r="B168" s="16"/>
      <c r="C168" s="15"/>
    </row>
    <row r="169" spans="1:3" x14ac:dyDescent="0.25">
      <c r="A169" s="17"/>
      <c r="B169" s="16"/>
      <c r="C169" s="15"/>
    </row>
    <row r="170" spans="1:3" x14ac:dyDescent="0.25">
      <c r="A170" s="17"/>
      <c r="B170" s="16"/>
      <c r="C170" s="15"/>
    </row>
    <row r="171" spans="1:3" x14ac:dyDescent="0.25">
      <c r="A171" s="14"/>
      <c r="B171" s="13"/>
      <c r="C171" s="12"/>
    </row>
  </sheetData>
  <pageMargins left="0.7" right="0.7" top="0.75" bottom="0.75" header="0.3" footer="0.3"/>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4BFE-B16C-4FE2-9CA2-2A9BC58DC00D}">
  <sheetPr codeName="Sheet13"/>
  <dimension ref="A1:EU12"/>
  <sheetViews>
    <sheetView workbookViewId="0">
      <selection activeCell="G10" sqref="G10"/>
    </sheetView>
  </sheetViews>
  <sheetFormatPr defaultRowHeight="15" x14ac:dyDescent="0.25"/>
  <cols>
    <col min="1" max="2" width="17.28515625" bestFit="1" customWidth="1"/>
    <col min="3" max="3" width="14.28515625" bestFit="1" customWidth="1"/>
    <col min="4" max="4" width="12.5703125" bestFit="1" customWidth="1"/>
    <col min="5" max="5" width="12" bestFit="1" customWidth="1"/>
    <col min="6" max="6" width="11.42578125" bestFit="1" customWidth="1"/>
    <col min="7" max="8" width="9.7109375" bestFit="1" customWidth="1"/>
    <col min="9" max="9" width="11.85546875" bestFit="1" customWidth="1"/>
    <col min="10" max="10" width="14.42578125" bestFit="1" customWidth="1"/>
    <col min="11" max="11" width="14.7109375" bestFit="1" customWidth="1"/>
    <col min="12" max="12" width="15" bestFit="1" customWidth="1"/>
    <col min="13" max="13" width="12.28515625" bestFit="1" customWidth="1"/>
    <col min="14" max="14" width="13.85546875" bestFit="1" customWidth="1"/>
    <col min="15" max="15" width="11.5703125" bestFit="1" customWidth="1"/>
    <col min="16" max="16" width="12.7109375" bestFit="1" customWidth="1"/>
    <col min="17" max="17" width="14.28515625" bestFit="1" customWidth="1"/>
    <col min="18" max="18" width="14.140625" bestFit="1" customWidth="1"/>
    <col min="19" max="19" width="12.140625" bestFit="1" customWidth="1"/>
    <col min="20" max="20" width="14" bestFit="1" customWidth="1"/>
    <col min="21" max="21" width="11.28515625" bestFit="1" customWidth="1"/>
    <col min="22" max="22" width="9.7109375" bestFit="1" customWidth="1"/>
    <col min="23" max="23" width="14.28515625" bestFit="1" customWidth="1"/>
    <col min="24" max="24" width="11.28515625" bestFit="1" customWidth="1"/>
    <col min="25" max="25" width="11.42578125" bestFit="1" customWidth="1"/>
    <col min="26" max="26" width="10.140625" bestFit="1" customWidth="1"/>
    <col min="27" max="27" width="12.85546875" bestFit="1" customWidth="1"/>
    <col min="28" max="28" width="13.28515625" bestFit="1" customWidth="1"/>
    <col min="29" max="29" width="14.42578125" bestFit="1" customWidth="1"/>
    <col min="30" max="30" width="12.5703125" bestFit="1" customWidth="1"/>
    <col min="31" max="31" width="10.85546875" bestFit="1" customWidth="1"/>
    <col min="32" max="32" width="11.7109375" bestFit="1" customWidth="1"/>
    <col min="33" max="33" width="11" bestFit="1" customWidth="1"/>
    <col min="34" max="34" width="15.28515625" bestFit="1" customWidth="1"/>
    <col min="35" max="35" width="13.42578125" bestFit="1" customWidth="1"/>
    <col min="36" max="36" width="10.42578125" bestFit="1" customWidth="1"/>
    <col min="37" max="37" width="15.28515625" bestFit="1" customWidth="1"/>
    <col min="38" max="38" width="11.42578125" bestFit="1" customWidth="1"/>
    <col min="39" max="39" width="12.28515625" bestFit="1" customWidth="1"/>
    <col min="40" max="40" width="13.5703125" bestFit="1" customWidth="1"/>
    <col min="41" max="41" width="14" bestFit="1" customWidth="1"/>
    <col min="42" max="42" width="13.28515625" bestFit="1" customWidth="1"/>
    <col min="43" max="43" width="12" bestFit="1" customWidth="1"/>
    <col min="44" max="44" width="12.7109375" bestFit="1" customWidth="1"/>
    <col min="45" max="45" width="12.5703125" bestFit="1" customWidth="1"/>
    <col min="46" max="46" width="9.7109375" bestFit="1" customWidth="1"/>
    <col min="47" max="47" width="12" bestFit="1" customWidth="1"/>
    <col min="48" max="48" width="12.85546875" bestFit="1" customWidth="1"/>
    <col min="49" max="49" width="11.28515625" bestFit="1" customWidth="1"/>
    <col min="50" max="50" width="11.42578125" bestFit="1" customWidth="1"/>
    <col min="51" max="51" width="12.85546875" bestFit="1" customWidth="1"/>
    <col min="52" max="52" width="12.7109375" bestFit="1" customWidth="1"/>
    <col min="53" max="53" width="12.140625" bestFit="1" customWidth="1"/>
    <col min="54" max="54" width="11.7109375" bestFit="1" customWidth="1"/>
    <col min="55" max="55" width="11" bestFit="1" customWidth="1"/>
    <col min="56" max="56" width="12.140625" bestFit="1" customWidth="1"/>
    <col min="57" max="58" width="11.28515625" bestFit="1" customWidth="1"/>
    <col min="59" max="59" width="20.140625" bestFit="1" customWidth="1"/>
    <col min="60" max="60" width="14.28515625" bestFit="1" customWidth="1"/>
    <col min="61" max="61" width="12.28515625" bestFit="1" customWidth="1"/>
    <col min="62" max="62" width="13.42578125" bestFit="1" customWidth="1"/>
    <col min="63" max="63" width="15.140625" bestFit="1" customWidth="1"/>
    <col min="64" max="64" width="13.5703125" bestFit="1" customWidth="1"/>
    <col min="65" max="65" width="12.42578125" bestFit="1" customWidth="1"/>
    <col min="66" max="66" width="15.42578125" bestFit="1" customWidth="1"/>
    <col min="67" max="67" width="14.5703125" bestFit="1" customWidth="1"/>
    <col min="68" max="68" width="10.85546875" bestFit="1" customWidth="1"/>
    <col min="69" max="69" width="12.140625" bestFit="1" customWidth="1"/>
    <col min="70" max="70" width="11.85546875" bestFit="1" customWidth="1"/>
    <col min="71" max="71" width="10.28515625" bestFit="1" customWidth="1"/>
    <col min="72" max="72" width="9.7109375" bestFit="1" customWidth="1"/>
    <col min="73" max="75" width="11.7109375" bestFit="1" customWidth="1"/>
    <col min="76" max="76" width="12.5703125" bestFit="1" customWidth="1"/>
    <col min="77" max="77" width="13.5703125" bestFit="1" customWidth="1"/>
    <col min="78" max="78" width="12.28515625" bestFit="1" customWidth="1"/>
    <col min="79" max="79" width="11" bestFit="1" customWidth="1"/>
    <col min="80" max="81" width="13.28515625" bestFit="1" customWidth="1"/>
    <col min="82" max="82" width="13.85546875" bestFit="1" customWidth="1"/>
    <col min="83" max="83" width="11.85546875" bestFit="1" customWidth="1"/>
    <col min="84" max="84" width="14.5703125" bestFit="1" customWidth="1"/>
    <col min="85" max="85" width="15.42578125" bestFit="1" customWidth="1"/>
    <col min="86" max="86" width="12.85546875" bestFit="1" customWidth="1"/>
    <col min="87" max="87" width="11" bestFit="1" customWidth="1"/>
    <col min="88" max="88" width="11.7109375" bestFit="1" customWidth="1"/>
    <col min="89" max="89" width="12" bestFit="1" customWidth="1"/>
    <col min="90" max="90" width="11.5703125" bestFit="1" customWidth="1"/>
    <col min="91" max="91" width="11.28515625" bestFit="1" customWidth="1"/>
    <col min="92" max="92" width="14.85546875" bestFit="1" customWidth="1"/>
    <col min="93" max="93" width="10.7109375" bestFit="1" customWidth="1"/>
    <col min="94" max="94" width="16.28515625" bestFit="1" customWidth="1"/>
    <col min="95" max="95" width="10.140625" bestFit="1" customWidth="1"/>
    <col min="96" max="96" width="10.5703125" bestFit="1" customWidth="1"/>
    <col min="97" max="97" width="11.7109375" bestFit="1" customWidth="1"/>
    <col min="98" max="98" width="15" bestFit="1" customWidth="1"/>
    <col min="99" max="99" width="12.28515625" bestFit="1" customWidth="1"/>
    <col min="100" max="100" width="14.140625" bestFit="1" customWidth="1"/>
    <col min="101" max="101" width="12.28515625" bestFit="1" customWidth="1"/>
    <col min="102" max="102" width="13.42578125" bestFit="1" customWidth="1"/>
    <col min="103" max="103" width="12.5703125" bestFit="1" customWidth="1"/>
    <col min="104" max="104" width="12.42578125" bestFit="1" customWidth="1"/>
    <col min="105" max="105" width="10.140625" bestFit="1" customWidth="1"/>
    <col min="106" max="106" width="11" bestFit="1" customWidth="1"/>
    <col min="107" max="107" width="15.42578125" bestFit="1" customWidth="1"/>
    <col min="108" max="108" width="16" bestFit="1" customWidth="1"/>
    <col min="109" max="109" width="10.85546875" bestFit="1" customWidth="1"/>
    <col min="110" max="110" width="12.140625" bestFit="1" customWidth="1"/>
    <col min="111" max="111" width="16.5703125" bestFit="1" customWidth="1"/>
    <col min="112" max="112" width="11.85546875" bestFit="1" customWidth="1"/>
    <col min="113" max="113" width="11.28515625" bestFit="1" customWidth="1"/>
    <col min="114" max="114" width="11" bestFit="1" customWidth="1"/>
    <col min="115" max="115" width="15" bestFit="1" customWidth="1"/>
    <col min="116" max="116" width="14" bestFit="1" customWidth="1"/>
    <col min="117" max="117" width="13.42578125" bestFit="1" customWidth="1"/>
    <col min="118" max="118" width="12" bestFit="1" customWidth="1"/>
    <col min="119" max="119" width="13.28515625" bestFit="1" customWidth="1"/>
    <col min="120" max="120" width="12.140625" bestFit="1" customWidth="1"/>
    <col min="121" max="121" width="13.42578125" bestFit="1" customWidth="1"/>
    <col min="122" max="122" width="12.28515625" bestFit="1" customWidth="1"/>
    <col min="123" max="124" width="12.85546875" bestFit="1" customWidth="1"/>
    <col min="125" max="125" width="11.7109375" bestFit="1" customWidth="1"/>
    <col min="126" max="126" width="12.5703125" bestFit="1" customWidth="1"/>
    <col min="127" max="127" width="12.7109375" bestFit="1" customWidth="1"/>
    <col min="128" max="128" width="10.28515625" bestFit="1" customWidth="1"/>
    <col min="129" max="129" width="12" bestFit="1" customWidth="1"/>
    <col min="130" max="130" width="11.28515625" bestFit="1" customWidth="1"/>
    <col min="131" max="131" width="14.42578125" bestFit="1" customWidth="1"/>
    <col min="132" max="132" width="12.42578125" bestFit="1" customWidth="1"/>
    <col min="133" max="133" width="11.140625" bestFit="1" customWidth="1"/>
    <col min="134" max="134" width="16.140625" bestFit="1" customWidth="1"/>
    <col min="135" max="135" width="12.7109375" bestFit="1" customWidth="1"/>
    <col min="136" max="136" width="12" bestFit="1" customWidth="1"/>
    <col min="137" max="137" width="15.42578125" bestFit="1" customWidth="1"/>
    <col min="138" max="138" width="9.85546875" bestFit="1" customWidth="1"/>
    <col min="139" max="139" width="15.28515625" bestFit="1" customWidth="1"/>
    <col min="140" max="140" width="16.140625" bestFit="1" customWidth="1"/>
    <col min="141" max="141" width="11.42578125" bestFit="1" customWidth="1"/>
    <col min="142" max="142" width="13.140625" bestFit="1" customWidth="1"/>
    <col min="143" max="143" width="14.140625" bestFit="1" customWidth="1"/>
    <col min="144" max="144" width="12.42578125" bestFit="1" customWidth="1"/>
    <col min="145" max="145" width="10.140625" bestFit="1" customWidth="1"/>
    <col min="146" max="146" width="11.28515625" bestFit="1" customWidth="1"/>
    <col min="147" max="147" width="10.28515625" bestFit="1" customWidth="1"/>
    <col min="148" max="148" width="11" bestFit="1" customWidth="1"/>
    <col min="149" max="149" width="13.140625" bestFit="1" customWidth="1"/>
    <col min="150" max="150" width="12.85546875" bestFit="1" customWidth="1"/>
    <col min="151" max="151" width="10.28515625" bestFit="1" customWidth="1"/>
  </cols>
  <sheetData>
    <row r="1" spans="1:151" x14ac:dyDescent="0.25">
      <c r="A1" t="s">
        <v>507</v>
      </c>
      <c r="B1" t="s">
        <v>354</v>
      </c>
      <c r="C1" t="s">
        <v>356</v>
      </c>
      <c r="D1" t="s">
        <v>408</v>
      </c>
      <c r="E1" t="s">
        <v>364</v>
      </c>
      <c r="F1" t="s">
        <v>423</v>
      </c>
      <c r="G1" t="s">
        <v>366</v>
      </c>
      <c r="H1" t="s">
        <v>437</v>
      </c>
      <c r="I1" t="s">
        <v>388</v>
      </c>
      <c r="J1" t="s">
        <v>365</v>
      </c>
      <c r="K1" t="s">
        <v>473</v>
      </c>
      <c r="L1" t="s">
        <v>457</v>
      </c>
      <c r="M1" t="s">
        <v>352</v>
      </c>
      <c r="N1" t="s">
        <v>402</v>
      </c>
      <c r="O1" t="s">
        <v>398</v>
      </c>
      <c r="P1" t="s">
        <v>472</v>
      </c>
      <c r="Q1" t="s">
        <v>386</v>
      </c>
      <c r="R1" t="s">
        <v>338</v>
      </c>
      <c r="S1" t="s">
        <v>419</v>
      </c>
      <c r="T1" t="s">
        <v>477</v>
      </c>
      <c r="U1" t="s">
        <v>344</v>
      </c>
      <c r="V1" t="s">
        <v>372</v>
      </c>
      <c r="W1" t="s">
        <v>459</v>
      </c>
      <c r="X1" t="s">
        <v>475</v>
      </c>
      <c r="Y1" t="s">
        <v>383</v>
      </c>
      <c r="Z1" t="s">
        <v>436</v>
      </c>
      <c r="AA1" t="s">
        <v>337</v>
      </c>
      <c r="AB1" t="s">
        <v>371</v>
      </c>
      <c r="AC1" t="s">
        <v>452</v>
      </c>
      <c r="AD1" t="s">
        <v>399</v>
      </c>
      <c r="AE1" t="s">
        <v>361</v>
      </c>
      <c r="AF1" t="s">
        <v>385</v>
      </c>
      <c r="AG1" t="s">
        <v>369</v>
      </c>
      <c r="AH1" t="s">
        <v>384</v>
      </c>
      <c r="AI1" t="s">
        <v>416</v>
      </c>
      <c r="AJ1" t="s">
        <v>347</v>
      </c>
      <c r="AK1" t="s">
        <v>397</v>
      </c>
      <c r="AL1" t="s">
        <v>448</v>
      </c>
      <c r="AM1" t="s">
        <v>438</v>
      </c>
      <c r="AN1" t="s">
        <v>368</v>
      </c>
      <c r="AO1" t="s">
        <v>382</v>
      </c>
      <c r="AP1" t="s">
        <v>411</v>
      </c>
      <c r="AQ1" t="s">
        <v>415</v>
      </c>
      <c r="AR1" t="s">
        <v>439</v>
      </c>
      <c r="AS1" t="s">
        <v>433</v>
      </c>
      <c r="AT1" t="s">
        <v>363</v>
      </c>
      <c r="AU1" t="s">
        <v>476</v>
      </c>
      <c r="AV1" t="s">
        <v>359</v>
      </c>
      <c r="AW1" t="s">
        <v>380</v>
      </c>
      <c r="AX1" t="s">
        <v>447</v>
      </c>
      <c r="AY1" t="s">
        <v>404</v>
      </c>
      <c r="AZ1" t="s">
        <v>504</v>
      </c>
      <c r="BA1" t="s">
        <v>410</v>
      </c>
      <c r="BB1" t="s">
        <v>360</v>
      </c>
      <c r="BC1" t="s">
        <v>485</v>
      </c>
      <c r="BD1" t="s">
        <v>395</v>
      </c>
      <c r="BE1" t="s">
        <v>481</v>
      </c>
      <c r="BF1" t="s">
        <v>468</v>
      </c>
      <c r="BG1" t="s">
        <v>446</v>
      </c>
      <c r="BH1" t="s">
        <v>379</v>
      </c>
      <c r="BI1" t="s">
        <v>474</v>
      </c>
      <c r="BJ1" t="s">
        <v>426</v>
      </c>
      <c r="BK1" t="s">
        <v>469</v>
      </c>
      <c r="BL1" t="s">
        <v>407</v>
      </c>
      <c r="BM1" t="s">
        <v>381</v>
      </c>
      <c r="BN1" t="s">
        <v>467</v>
      </c>
      <c r="BO1" t="s">
        <v>370</v>
      </c>
      <c r="BP1" t="s">
        <v>339</v>
      </c>
      <c r="BQ1" t="s">
        <v>418</v>
      </c>
      <c r="BR1" t="s">
        <v>378</v>
      </c>
      <c r="BS1" t="s">
        <v>345</v>
      </c>
      <c r="BT1" t="s">
        <v>434</v>
      </c>
      <c r="BU1" t="s">
        <v>453</v>
      </c>
      <c r="BV1" t="s">
        <v>479</v>
      </c>
      <c r="BW1" t="s">
        <v>460</v>
      </c>
      <c r="BX1" t="s">
        <v>435</v>
      </c>
      <c r="BY1" t="s">
        <v>431</v>
      </c>
      <c r="BZ1" t="s">
        <v>401</v>
      </c>
      <c r="CA1" t="s">
        <v>480</v>
      </c>
      <c r="CB1" t="s">
        <v>393</v>
      </c>
      <c r="CC1" t="s">
        <v>429</v>
      </c>
      <c r="CD1" t="s">
        <v>387</v>
      </c>
      <c r="CE1" t="s">
        <v>376</v>
      </c>
      <c r="CF1" t="s">
        <v>478</v>
      </c>
      <c r="CG1" t="s">
        <v>367</v>
      </c>
      <c r="CH1" t="s">
        <v>390</v>
      </c>
      <c r="CI1" t="s">
        <v>464</v>
      </c>
      <c r="CJ1" t="s">
        <v>362</v>
      </c>
      <c r="CK1" t="s">
        <v>445</v>
      </c>
      <c r="CL1" t="s">
        <v>405</v>
      </c>
      <c r="CM1" t="s">
        <v>346</v>
      </c>
      <c r="CN1" t="s">
        <v>465</v>
      </c>
      <c r="CO1" t="s">
        <v>449</v>
      </c>
      <c r="CP1" t="s">
        <v>341</v>
      </c>
      <c r="CQ1" t="s">
        <v>458</v>
      </c>
      <c r="CR1" t="s">
        <v>451</v>
      </c>
      <c r="CS1" t="s">
        <v>400</v>
      </c>
      <c r="CT1" t="s">
        <v>428</v>
      </c>
      <c r="CU1" t="s">
        <v>420</v>
      </c>
      <c r="CV1" t="s">
        <v>343</v>
      </c>
      <c r="CW1" t="s">
        <v>414</v>
      </c>
      <c r="CX1" t="s">
        <v>484</v>
      </c>
      <c r="CY1" t="s">
        <v>421</v>
      </c>
      <c r="CZ1" t="s">
        <v>403</v>
      </c>
      <c r="DA1" t="s">
        <v>466</v>
      </c>
      <c r="DB1" t="s">
        <v>454</v>
      </c>
      <c r="DC1" t="s">
        <v>432</v>
      </c>
      <c r="DD1" t="s">
        <v>413</v>
      </c>
      <c r="DE1" t="s">
        <v>455</v>
      </c>
      <c r="DF1" t="s">
        <v>406</v>
      </c>
      <c r="DG1" t="s">
        <v>389</v>
      </c>
      <c r="DH1" t="s">
        <v>357</v>
      </c>
      <c r="DI1" t="s">
        <v>374</v>
      </c>
      <c r="DJ1" t="s">
        <v>450</v>
      </c>
      <c r="DK1" t="s">
        <v>440</v>
      </c>
      <c r="DL1" t="s">
        <v>471</v>
      </c>
      <c r="DM1" t="s">
        <v>427</v>
      </c>
      <c r="DN1" t="s">
        <v>443</v>
      </c>
      <c r="DO1" t="s">
        <v>377</v>
      </c>
      <c r="DP1" t="s">
        <v>409</v>
      </c>
      <c r="DQ1" t="s">
        <v>463</v>
      </c>
      <c r="DR1" t="s">
        <v>392</v>
      </c>
      <c r="DS1" t="s">
        <v>424</v>
      </c>
      <c r="DT1" t="s">
        <v>417</v>
      </c>
      <c r="DU1" t="s">
        <v>444</v>
      </c>
      <c r="DV1" t="s">
        <v>375</v>
      </c>
      <c r="DW1" t="s">
        <v>456</v>
      </c>
      <c r="DX1" t="s">
        <v>442</v>
      </c>
      <c r="DY1" t="s">
        <v>412</v>
      </c>
      <c r="DZ1" t="s">
        <v>348</v>
      </c>
      <c r="EA1" t="s">
        <v>373</v>
      </c>
      <c r="EB1" t="s">
        <v>351</v>
      </c>
      <c r="EC1" t="s">
        <v>353</v>
      </c>
      <c r="ED1" t="s">
        <v>430</v>
      </c>
      <c r="EE1" t="s">
        <v>425</v>
      </c>
      <c r="EF1" t="s">
        <v>461</v>
      </c>
      <c r="EG1" t="s">
        <v>340</v>
      </c>
      <c r="EH1" t="s">
        <v>497</v>
      </c>
      <c r="EI1" t="s">
        <v>470</v>
      </c>
      <c r="EJ1" t="s">
        <v>441</v>
      </c>
      <c r="EK1" t="s">
        <v>342</v>
      </c>
      <c r="EL1" t="s">
        <v>391</v>
      </c>
      <c r="EM1" t="s">
        <v>422</v>
      </c>
      <c r="EN1" t="s">
        <v>394</v>
      </c>
      <c r="EO1" t="s">
        <v>355</v>
      </c>
      <c r="EP1" t="s">
        <v>349</v>
      </c>
      <c r="EQ1" t="s">
        <v>462</v>
      </c>
      <c r="ER1" t="s">
        <v>336</v>
      </c>
      <c r="ES1" t="s">
        <v>482</v>
      </c>
      <c r="ET1" t="s">
        <v>396</v>
      </c>
      <c r="EU1" t="s">
        <v>358</v>
      </c>
    </row>
    <row r="2" spans="1:151" x14ac:dyDescent="0.25">
      <c r="A2" t="s">
        <v>84</v>
      </c>
      <c r="B2" t="s">
        <v>106</v>
      </c>
      <c r="C2" t="s">
        <v>113</v>
      </c>
      <c r="D2" t="s">
        <v>75</v>
      </c>
      <c r="E2" t="s">
        <v>115</v>
      </c>
      <c r="F2" t="s">
        <v>108</v>
      </c>
      <c r="G2" t="s">
        <v>96</v>
      </c>
      <c r="H2" t="s">
        <v>97</v>
      </c>
      <c r="I2" t="s">
        <v>103</v>
      </c>
      <c r="J2" t="s">
        <v>151</v>
      </c>
      <c r="K2" t="s">
        <v>67</v>
      </c>
      <c r="L2" t="s">
        <v>109</v>
      </c>
      <c r="M2" t="s">
        <v>107</v>
      </c>
      <c r="N2" t="s">
        <v>105</v>
      </c>
      <c r="O2" t="s">
        <v>94</v>
      </c>
      <c r="P2" t="s">
        <v>101</v>
      </c>
      <c r="Q2" t="s">
        <v>104</v>
      </c>
      <c r="R2" t="s">
        <v>114</v>
      </c>
      <c r="S2" t="s">
        <v>100</v>
      </c>
      <c r="T2" t="s">
        <v>112</v>
      </c>
      <c r="U2" t="s">
        <v>313</v>
      </c>
      <c r="V2" t="s">
        <v>321</v>
      </c>
      <c r="W2" t="s">
        <v>251</v>
      </c>
      <c r="X2" t="s">
        <v>324</v>
      </c>
      <c r="Y2" t="s">
        <v>292</v>
      </c>
      <c r="Z2" t="s">
        <v>325</v>
      </c>
      <c r="AA2" t="s">
        <v>320</v>
      </c>
      <c r="AB2" t="s">
        <v>230</v>
      </c>
      <c r="AC2" t="s">
        <v>151</v>
      </c>
      <c r="AD2" t="s">
        <v>298</v>
      </c>
      <c r="AE2" t="s">
        <v>286</v>
      </c>
      <c r="AF2" t="s">
        <v>332</v>
      </c>
      <c r="AG2" t="s">
        <v>299</v>
      </c>
      <c r="AH2" t="s">
        <v>323</v>
      </c>
      <c r="AI2" t="s">
        <v>330</v>
      </c>
      <c r="AJ2" t="s">
        <v>237</v>
      </c>
      <c r="AK2" t="s">
        <v>253</v>
      </c>
      <c r="AL2" t="s">
        <v>292</v>
      </c>
      <c r="AM2" t="s">
        <v>303</v>
      </c>
      <c r="AN2" t="s">
        <v>226</v>
      </c>
      <c r="AO2" t="s">
        <v>279</v>
      </c>
      <c r="AP2" t="s">
        <v>249</v>
      </c>
      <c r="AQ2" t="s">
        <v>219</v>
      </c>
      <c r="AR2" t="s">
        <v>328</v>
      </c>
      <c r="AS2" t="s">
        <v>284</v>
      </c>
      <c r="AT2" t="s">
        <v>218</v>
      </c>
      <c r="AU2" t="s">
        <v>326</v>
      </c>
      <c r="AV2" t="s">
        <v>283</v>
      </c>
      <c r="AW2" t="s">
        <v>260</v>
      </c>
      <c r="AX2" t="s">
        <v>294</v>
      </c>
      <c r="AY2" t="s">
        <v>291</v>
      </c>
      <c r="AZ2" t="s">
        <v>265</v>
      </c>
      <c r="BA2" t="s">
        <v>281</v>
      </c>
      <c r="BB2" t="s">
        <v>290</v>
      </c>
      <c r="BC2" t="s">
        <v>245</v>
      </c>
      <c r="BD2" t="s">
        <v>250</v>
      </c>
      <c r="BE2" t="s">
        <v>229</v>
      </c>
      <c r="BF2" t="s">
        <v>266</v>
      </c>
      <c r="BG2" t="s">
        <v>275</v>
      </c>
      <c r="BH2" t="s">
        <v>251</v>
      </c>
      <c r="BI2" t="s">
        <v>317</v>
      </c>
      <c r="BJ2" t="s">
        <v>220</v>
      </c>
      <c r="BK2" t="s">
        <v>246</v>
      </c>
      <c r="BL2" t="s">
        <v>270</v>
      </c>
      <c r="BM2" t="s">
        <v>333</v>
      </c>
      <c r="BN2" t="s">
        <v>221</v>
      </c>
      <c r="BO2" t="s">
        <v>305</v>
      </c>
      <c r="BP2" t="s">
        <v>285</v>
      </c>
      <c r="BQ2" t="s">
        <v>250</v>
      </c>
      <c r="BR2" t="s">
        <v>272</v>
      </c>
      <c r="BS2" t="s">
        <v>334</v>
      </c>
      <c r="BT2" t="s">
        <v>248</v>
      </c>
      <c r="BU2" t="s">
        <v>269</v>
      </c>
      <c r="BV2" t="s">
        <v>242</v>
      </c>
      <c r="BW2" t="s">
        <v>240</v>
      </c>
      <c r="BX2" t="s">
        <v>322</v>
      </c>
      <c r="BY2" t="s">
        <v>226</v>
      </c>
      <c r="BZ2" t="s">
        <v>319</v>
      </c>
      <c r="CA2" t="s">
        <v>318</v>
      </c>
      <c r="CB2" t="s">
        <v>316</v>
      </c>
      <c r="CC2" t="s">
        <v>309</v>
      </c>
      <c r="CD2" t="s">
        <v>257</v>
      </c>
      <c r="CE2" t="s">
        <v>234</v>
      </c>
      <c r="CF2" t="s">
        <v>256</v>
      </c>
      <c r="CG2" t="s">
        <v>221</v>
      </c>
      <c r="CH2" t="s">
        <v>289</v>
      </c>
      <c r="CI2" t="s">
        <v>224</v>
      </c>
      <c r="CJ2" t="s">
        <v>241</v>
      </c>
      <c r="CK2" t="s">
        <v>314</v>
      </c>
      <c r="CL2" t="s">
        <v>327</v>
      </c>
      <c r="CM2" t="s">
        <v>264</v>
      </c>
      <c r="CN2" t="s">
        <v>231</v>
      </c>
      <c r="CO2" t="s">
        <v>307</v>
      </c>
      <c r="CP2" t="s">
        <v>273</v>
      </c>
      <c r="CQ2" t="s">
        <v>282</v>
      </c>
      <c r="CR2" t="s">
        <v>247</v>
      </c>
      <c r="CS2" t="s">
        <v>261</v>
      </c>
      <c r="CT2" t="s">
        <v>311</v>
      </c>
      <c r="CU2" t="s">
        <v>287</v>
      </c>
      <c r="CV2" t="s">
        <v>262</v>
      </c>
      <c r="CW2" t="s">
        <v>225</v>
      </c>
      <c r="CX2" t="s">
        <v>233</v>
      </c>
      <c r="CY2" t="s">
        <v>228</v>
      </c>
      <c r="CZ2" t="s">
        <v>297</v>
      </c>
      <c r="DA2" t="s">
        <v>263</v>
      </c>
      <c r="DB2" t="s">
        <v>318</v>
      </c>
      <c r="DC2" t="s">
        <v>235</v>
      </c>
      <c r="DD2" t="s">
        <v>302</v>
      </c>
      <c r="DE2" t="s">
        <v>217</v>
      </c>
      <c r="DF2" t="s">
        <v>293</v>
      </c>
      <c r="DG2" t="s">
        <v>274</v>
      </c>
      <c r="DH2" t="s">
        <v>232</v>
      </c>
      <c r="DI2" t="s">
        <v>260</v>
      </c>
      <c r="DJ2" t="s">
        <v>245</v>
      </c>
      <c r="DK2" t="s">
        <v>278</v>
      </c>
      <c r="DL2" t="s">
        <v>301</v>
      </c>
      <c r="DM2" t="s">
        <v>255</v>
      </c>
      <c r="DN2" t="s">
        <v>331</v>
      </c>
      <c r="DO2" t="s">
        <v>244</v>
      </c>
      <c r="DP2" t="s">
        <v>258</v>
      </c>
      <c r="DQ2" t="s">
        <v>238</v>
      </c>
      <c r="DR2" t="s">
        <v>268</v>
      </c>
      <c r="DS2" t="s">
        <v>227</v>
      </c>
      <c r="DT2" t="s">
        <v>291</v>
      </c>
      <c r="DU2" t="s">
        <v>243</v>
      </c>
      <c r="DV2" t="s">
        <v>312</v>
      </c>
      <c r="DW2" t="s">
        <v>236</v>
      </c>
      <c r="DX2" t="s">
        <v>271</v>
      </c>
      <c r="DY2" t="s">
        <v>252</v>
      </c>
      <c r="DZ2" t="s">
        <v>324</v>
      </c>
      <c r="EA2" t="s">
        <v>280</v>
      </c>
      <c r="EB2" t="s">
        <v>223</v>
      </c>
      <c r="EC2" t="s">
        <v>308</v>
      </c>
      <c r="ED2" t="s">
        <v>315</v>
      </c>
      <c r="EE2" t="s">
        <v>222</v>
      </c>
      <c r="EF2" t="s">
        <v>277</v>
      </c>
      <c r="EG2" t="s">
        <v>235</v>
      </c>
      <c r="EH2" t="s">
        <v>306</v>
      </c>
      <c r="EI2" t="s">
        <v>254</v>
      </c>
      <c r="EJ2" t="s">
        <v>276</v>
      </c>
      <c r="EK2" t="s">
        <v>288</v>
      </c>
      <c r="EL2" t="s">
        <v>267</v>
      </c>
      <c r="EM2" t="s">
        <v>295</v>
      </c>
      <c r="EN2" t="s">
        <v>300</v>
      </c>
      <c r="EO2" t="s">
        <v>329</v>
      </c>
      <c r="EP2" t="s">
        <v>296</v>
      </c>
      <c r="EQ2" t="s">
        <v>239</v>
      </c>
      <c r="ER2" t="s">
        <v>259</v>
      </c>
      <c r="ES2" t="s">
        <v>304</v>
      </c>
      <c r="ET2" t="s">
        <v>310</v>
      </c>
      <c r="EU2" t="s">
        <v>335</v>
      </c>
    </row>
    <row r="3" spans="1:151" x14ac:dyDescent="0.25">
      <c r="A3" t="s">
        <v>91</v>
      </c>
      <c r="B3" t="s">
        <v>134</v>
      </c>
      <c r="C3" t="s">
        <v>134</v>
      </c>
      <c r="D3" t="s">
        <v>124</v>
      </c>
      <c r="E3" t="s">
        <v>128</v>
      </c>
      <c r="F3" t="s">
        <v>128</v>
      </c>
      <c r="G3" t="s">
        <v>130</v>
      </c>
      <c r="H3" t="s">
        <v>133</v>
      </c>
      <c r="I3" t="s">
        <v>133</v>
      </c>
      <c r="J3" t="s">
        <v>124</v>
      </c>
      <c r="K3" t="s">
        <v>127</v>
      </c>
      <c r="L3" t="s">
        <v>129</v>
      </c>
      <c r="M3" t="s">
        <v>132</v>
      </c>
      <c r="N3" t="s">
        <v>131</v>
      </c>
      <c r="O3" t="s">
        <v>128</v>
      </c>
      <c r="P3" t="s">
        <v>130</v>
      </c>
      <c r="Q3" t="s">
        <v>129</v>
      </c>
      <c r="R3" t="s">
        <v>128</v>
      </c>
      <c r="S3" t="s">
        <v>127</v>
      </c>
      <c r="T3" t="s">
        <v>124</v>
      </c>
      <c r="U3" t="s">
        <v>133</v>
      </c>
      <c r="V3" t="s">
        <v>134</v>
      </c>
      <c r="W3" t="s">
        <v>132</v>
      </c>
      <c r="X3" t="s">
        <v>127</v>
      </c>
      <c r="Y3" t="s">
        <v>127</v>
      </c>
      <c r="Z3" t="s">
        <v>132</v>
      </c>
      <c r="AA3" t="s">
        <v>124</v>
      </c>
      <c r="AB3" t="s">
        <v>132</v>
      </c>
      <c r="AC3" t="s">
        <v>132</v>
      </c>
      <c r="AD3" t="s">
        <v>350</v>
      </c>
      <c r="AE3" t="s">
        <v>134</v>
      </c>
      <c r="AF3" t="s">
        <v>350</v>
      </c>
      <c r="AG3" t="s">
        <v>128</v>
      </c>
      <c r="AH3" t="s">
        <v>127</v>
      </c>
      <c r="AI3" t="s">
        <v>128</v>
      </c>
      <c r="AJ3" t="s">
        <v>130</v>
      </c>
      <c r="AK3" t="s">
        <v>124</v>
      </c>
      <c r="AL3" t="s">
        <v>130</v>
      </c>
      <c r="AM3" t="s">
        <v>134</v>
      </c>
      <c r="AN3" t="s">
        <v>127</v>
      </c>
      <c r="AO3" t="s">
        <v>130</v>
      </c>
      <c r="AP3" t="s">
        <v>124</v>
      </c>
      <c r="AQ3" t="s">
        <v>128</v>
      </c>
      <c r="AR3" t="s">
        <v>132</v>
      </c>
      <c r="AS3" t="s">
        <v>133</v>
      </c>
      <c r="AT3" t="s">
        <v>131</v>
      </c>
      <c r="AU3" t="s">
        <v>350</v>
      </c>
      <c r="AV3" t="s">
        <v>350</v>
      </c>
      <c r="AW3" t="s">
        <v>127</v>
      </c>
      <c r="AX3" t="s">
        <v>128</v>
      </c>
      <c r="AY3" t="s">
        <v>129</v>
      </c>
      <c r="AZ3" t="s">
        <v>350</v>
      </c>
      <c r="BA3" t="s">
        <v>129</v>
      </c>
      <c r="BB3" t="s">
        <v>133</v>
      </c>
      <c r="BC3" t="s">
        <v>127</v>
      </c>
      <c r="BD3" t="s">
        <v>134</v>
      </c>
      <c r="BE3" t="s">
        <v>127</v>
      </c>
      <c r="BF3" t="s">
        <v>124</v>
      </c>
      <c r="BG3" t="s">
        <v>124</v>
      </c>
      <c r="BH3" t="s">
        <v>128</v>
      </c>
      <c r="BI3" t="s">
        <v>133</v>
      </c>
      <c r="BJ3" t="s">
        <v>131</v>
      </c>
      <c r="BK3" t="s">
        <v>131</v>
      </c>
      <c r="BL3" t="s">
        <v>131</v>
      </c>
      <c r="BM3" t="s">
        <v>350</v>
      </c>
      <c r="BN3" t="s">
        <v>131</v>
      </c>
      <c r="BO3" t="s">
        <v>131</v>
      </c>
      <c r="BP3" t="s">
        <v>127</v>
      </c>
      <c r="BQ3" t="s">
        <v>132</v>
      </c>
      <c r="BR3" t="s">
        <v>127</v>
      </c>
      <c r="BS3" t="s">
        <v>133</v>
      </c>
      <c r="BT3" t="s">
        <v>131</v>
      </c>
      <c r="BU3" t="s">
        <v>131</v>
      </c>
      <c r="BV3" t="s">
        <v>124</v>
      </c>
      <c r="BW3" t="s">
        <v>132</v>
      </c>
      <c r="BX3" t="s">
        <v>132</v>
      </c>
      <c r="BY3" t="s">
        <v>124</v>
      </c>
      <c r="BZ3" t="s">
        <v>132</v>
      </c>
      <c r="CA3" t="s">
        <v>130</v>
      </c>
      <c r="CB3" t="s">
        <v>130</v>
      </c>
      <c r="CC3" t="s">
        <v>124</v>
      </c>
      <c r="CD3" t="s">
        <v>133</v>
      </c>
      <c r="CE3" t="s">
        <v>129</v>
      </c>
      <c r="CF3" t="s">
        <v>134</v>
      </c>
      <c r="CG3" t="s">
        <v>132</v>
      </c>
      <c r="CH3" t="s">
        <v>350</v>
      </c>
      <c r="CI3" t="s">
        <v>131</v>
      </c>
      <c r="CJ3" t="s">
        <v>127</v>
      </c>
      <c r="CK3" t="s">
        <v>127</v>
      </c>
      <c r="CL3" t="s">
        <v>130</v>
      </c>
      <c r="CM3" t="s">
        <v>124</v>
      </c>
      <c r="CN3" t="s">
        <v>130</v>
      </c>
      <c r="CO3" t="s">
        <v>124</v>
      </c>
      <c r="CP3" t="s">
        <v>134</v>
      </c>
      <c r="CQ3" t="s">
        <v>132</v>
      </c>
      <c r="CR3" t="s">
        <v>128</v>
      </c>
      <c r="CS3" t="s">
        <v>131</v>
      </c>
      <c r="CT3" t="s">
        <v>131</v>
      </c>
      <c r="CU3" t="s">
        <v>350</v>
      </c>
      <c r="CV3" t="s">
        <v>132</v>
      </c>
      <c r="CW3" t="s">
        <v>127</v>
      </c>
      <c r="CX3" t="s">
        <v>124</v>
      </c>
      <c r="CY3" t="s">
        <v>131</v>
      </c>
      <c r="CZ3" t="s">
        <v>124</v>
      </c>
      <c r="DA3" t="s">
        <v>132</v>
      </c>
      <c r="DB3" t="s">
        <v>350</v>
      </c>
      <c r="DC3" t="s">
        <v>131</v>
      </c>
      <c r="DD3" t="s">
        <v>127</v>
      </c>
      <c r="DE3" t="s">
        <v>127</v>
      </c>
      <c r="DF3" t="s">
        <v>124</v>
      </c>
      <c r="DG3" t="s">
        <v>130</v>
      </c>
      <c r="DH3" t="s">
        <v>130</v>
      </c>
      <c r="DI3" t="s">
        <v>129</v>
      </c>
      <c r="DJ3" t="s">
        <v>131</v>
      </c>
      <c r="DK3" t="s">
        <v>134</v>
      </c>
      <c r="DL3" t="s">
        <v>131</v>
      </c>
      <c r="DM3" t="s">
        <v>131</v>
      </c>
      <c r="DN3" t="s">
        <v>134</v>
      </c>
      <c r="DO3" t="s">
        <v>129</v>
      </c>
      <c r="DP3" t="s">
        <v>127</v>
      </c>
      <c r="DQ3" t="s">
        <v>128</v>
      </c>
      <c r="DR3" t="s">
        <v>128</v>
      </c>
      <c r="DS3" t="s">
        <v>127</v>
      </c>
      <c r="DT3" t="s">
        <v>130</v>
      </c>
      <c r="DU3" t="s">
        <v>124</v>
      </c>
      <c r="DV3" t="s">
        <v>134</v>
      </c>
      <c r="DW3" t="s">
        <v>131</v>
      </c>
      <c r="DX3" t="s">
        <v>131</v>
      </c>
      <c r="DY3" t="s">
        <v>128</v>
      </c>
      <c r="DZ3" t="s">
        <v>132</v>
      </c>
      <c r="EA3" t="s">
        <v>350</v>
      </c>
      <c r="EB3" t="s">
        <v>350</v>
      </c>
      <c r="EC3" t="s">
        <v>134</v>
      </c>
      <c r="ED3" t="s">
        <v>134</v>
      </c>
      <c r="EE3" t="s">
        <v>124</v>
      </c>
      <c r="EF3" t="s">
        <v>134</v>
      </c>
      <c r="EG3" t="s">
        <v>132</v>
      </c>
      <c r="EH3" t="s">
        <v>350</v>
      </c>
      <c r="EI3" t="s">
        <v>127</v>
      </c>
      <c r="EJ3" t="s">
        <v>131</v>
      </c>
      <c r="EK3" t="s">
        <v>132</v>
      </c>
      <c r="EL3" t="s">
        <v>128</v>
      </c>
      <c r="EM3" t="s">
        <v>131</v>
      </c>
      <c r="EN3" t="s">
        <v>132</v>
      </c>
      <c r="EO3" t="s">
        <v>131</v>
      </c>
      <c r="EP3" t="s">
        <v>134</v>
      </c>
      <c r="EQ3" t="s">
        <v>124</v>
      </c>
      <c r="ER3" t="s">
        <v>128</v>
      </c>
      <c r="ES3" t="s">
        <v>131</v>
      </c>
      <c r="ET3" t="s">
        <v>131</v>
      </c>
      <c r="EU3" t="s">
        <v>134</v>
      </c>
    </row>
    <row r="4" spans="1:151" x14ac:dyDescent="0.25">
      <c r="A4" t="s">
        <v>141</v>
      </c>
      <c r="B4">
        <v>70</v>
      </c>
      <c r="C4">
        <v>38</v>
      </c>
      <c r="D4">
        <v>88</v>
      </c>
      <c r="E4">
        <v>70</v>
      </c>
      <c r="F4">
        <v>79</v>
      </c>
      <c r="G4">
        <v>81</v>
      </c>
      <c r="H4">
        <v>47</v>
      </c>
      <c r="I4">
        <v>69</v>
      </c>
      <c r="J4">
        <v>63</v>
      </c>
      <c r="K4">
        <v>62</v>
      </c>
      <c r="L4">
        <v>66</v>
      </c>
      <c r="M4">
        <v>46</v>
      </c>
      <c r="N4">
        <v>83</v>
      </c>
      <c r="O4">
        <v>49</v>
      </c>
      <c r="P4">
        <v>99</v>
      </c>
      <c r="Q4">
        <v>82</v>
      </c>
      <c r="R4">
        <v>74</v>
      </c>
      <c r="S4">
        <v>51</v>
      </c>
      <c r="T4">
        <v>60</v>
      </c>
      <c r="U4">
        <v>43</v>
      </c>
      <c r="V4">
        <v>64</v>
      </c>
      <c r="W4">
        <v>62</v>
      </c>
      <c r="X4">
        <v>90</v>
      </c>
      <c r="Y4">
        <v>42</v>
      </c>
      <c r="Z4">
        <v>52</v>
      </c>
      <c r="AA4">
        <v>47</v>
      </c>
      <c r="AB4">
        <v>62</v>
      </c>
      <c r="AC4">
        <v>71</v>
      </c>
      <c r="AD4">
        <v>42</v>
      </c>
      <c r="AE4">
        <v>100</v>
      </c>
      <c r="AF4">
        <v>66</v>
      </c>
      <c r="AG4">
        <v>65</v>
      </c>
      <c r="AH4">
        <v>36</v>
      </c>
      <c r="AI4">
        <v>43</v>
      </c>
      <c r="AJ4">
        <v>36</v>
      </c>
      <c r="AK4">
        <v>54</v>
      </c>
      <c r="AL4">
        <v>99</v>
      </c>
      <c r="AM4">
        <v>77</v>
      </c>
      <c r="AN4">
        <v>44</v>
      </c>
      <c r="AO4">
        <v>81</v>
      </c>
      <c r="AP4">
        <v>87</v>
      </c>
      <c r="AQ4">
        <v>87</v>
      </c>
      <c r="AR4">
        <v>63</v>
      </c>
      <c r="AS4">
        <v>86</v>
      </c>
      <c r="AT4">
        <v>77</v>
      </c>
      <c r="AU4">
        <v>90</v>
      </c>
      <c r="AV4">
        <v>59</v>
      </c>
      <c r="AW4">
        <v>77</v>
      </c>
      <c r="AX4">
        <v>86</v>
      </c>
      <c r="AY4">
        <v>73</v>
      </c>
      <c r="AZ4">
        <v>76</v>
      </c>
      <c r="BA4">
        <v>45</v>
      </c>
      <c r="BB4">
        <v>60</v>
      </c>
      <c r="BC4">
        <v>93</v>
      </c>
      <c r="BD4">
        <v>48</v>
      </c>
      <c r="BE4">
        <v>93</v>
      </c>
      <c r="BF4">
        <v>92</v>
      </c>
      <c r="BG4">
        <v>97</v>
      </c>
      <c r="BH4">
        <v>75</v>
      </c>
      <c r="BI4">
        <v>43</v>
      </c>
      <c r="BJ4">
        <v>84</v>
      </c>
      <c r="BK4">
        <v>88</v>
      </c>
      <c r="BL4">
        <v>78</v>
      </c>
      <c r="BM4">
        <v>38</v>
      </c>
      <c r="BN4">
        <v>76</v>
      </c>
      <c r="BO4">
        <v>67</v>
      </c>
      <c r="BP4">
        <v>40</v>
      </c>
      <c r="BQ4">
        <v>49</v>
      </c>
      <c r="BR4">
        <v>55</v>
      </c>
      <c r="BS4">
        <v>44</v>
      </c>
      <c r="BT4">
        <v>82</v>
      </c>
      <c r="BU4">
        <v>81</v>
      </c>
      <c r="BV4">
        <v>96</v>
      </c>
      <c r="BW4">
        <v>66</v>
      </c>
      <c r="BX4">
        <v>62</v>
      </c>
      <c r="BY4">
        <v>59</v>
      </c>
      <c r="BZ4">
        <v>92</v>
      </c>
      <c r="CA4">
        <v>82</v>
      </c>
      <c r="CB4">
        <v>74</v>
      </c>
      <c r="CC4">
        <v>58</v>
      </c>
      <c r="CD4">
        <v>72</v>
      </c>
      <c r="CE4">
        <v>70</v>
      </c>
      <c r="CF4">
        <v>71</v>
      </c>
      <c r="CG4">
        <v>49</v>
      </c>
      <c r="CH4">
        <v>73</v>
      </c>
      <c r="CI4">
        <v>92</v>
      </c>
      <c r="CJ4">
        <v>61</v>
      </c>
      <c r="CK4">
        <v>55</v>
      </c>
      <c r="CL4">
        <v>71</v>
      </c>
      <c r="CM4">
        <v>63</v>
      </c>
      <c r="CN4">
        <v>71</v>
      </c>
      <c r="CO4">
        <v>98</v>
      </c>
      <c r="CP4">
        <v>46</v>
      </c>
      <c r="CQ4">
        <v>70</v>
      </c>
      <c r="CR4">
        <v>76</v>
      </c>
      <c r="CS4">
        <v>39</v>
      </c>
      <c r="CT4">
        <v>100</v>
      </c>
      <c r="CU4">
        <v>98</v>
      </c>
      <c r="CV4">
        <v>50</v>
      </c>
      <c r="CW4">
        <v>63</v>
      </c>
      <c r="CX4">
        <v>69</v>
      </c>
      <c r="CY4">
        <v>59</v>
      </c>
      <c r="CZ4">
        <v>69</v>
      </c>
      <c r="DA4">
        <v>79</v>
      </c>
      <c r="DB4">
        <v>84</v>
      </c>
      <c r="DC4">
        <v>84</v>
      </c>
      <c r="DD4">
        <v>91</v>
      </c>
      <c r="DE4">
        <v>95</v>
      </c>
      <c r="DF4">
        <v>83</v>
      </c>
      <c r="DG4">
        <v>64</v>
      </c>
      <c r="DH4">
        <v>38</v>
      </c>
      <c r="DI4">
        <v>66</v>
      </c>
      <c r="DJ4">
        <v>65</v>
      </c>
      <c r="DK4">
        <v>94</v>
      </c>
      <c r="DL4">
        <v>67</v>
      </c>
      <c r="DM4">
        <v>80</v>
      </c>
      <c r="DN4">
        <v>98</v>
      </c>
      <c r="DO4">
        <v>47</v>
      </c>
      <c r="DP4">
        <v>72</v>
      </c>
      <c r="DQ4">
        <v>99</v>
      </c>
      <c r="DR4">
        <v>49</v>
      </c>
      <c r="DS4">
        <v>85</v>
      </c>
      <c r="DT4">
        <v>83</v>
      </c>
      <c r="DU4">
        <v>76</v>
      </c>
      <c r="DV4">
        <v>39</v>
      </c>
      <c r="DW4">
        <v>93</v>
      </c>
      <c r="DX4">
        <v>70</v>
      </c>
      <c r="DY4">
        <v>47</v>
      </c>
      <c r="DZ4">
        <v>46</v>
      </c>
      <c r="EA4">
        <v>61</v>
      </c>
      <c r="EB4">
        <v>35</v>
      </c>
      <c r="EC4">
        <v>51</v>
      </c>
      <c r="ED4">
        <v>51</v>
      </c>
      <c r="EE4">
        <v>48</v>
      </c>
      <c r="EF4">
        <v>42</v>
      </c>
      <c r="EG4">
        <v>44</v>
      </c>
      <c r="EH4">
        <v>76</v>
      </c>
      <c r="EI4">
        <v>62</v>
      </c>
      <c r="EJ4">
        <v>47</v>
      </c>
      <c r="EK4">
        <v>43</v>
      </c>
      <c r="EL4">
        <v>51</v>
      </c>
      <c r="EM4">
        <v>41</v>
      </c>
      <c r="EN4">
        <v>63</v>
      </c>
      <c r="EO4">
        <v>38</v>
      </c>
      <c r="EP4">
        <v>58</v>
      </c>
      <c r="EQ4">
        <v>62</v>
      </c>
      <c r="ER4">
        <v>45</v>
      </c>
      <c r="ES4">
        <v>97</v>
      </c>
      <c r="ET4">
        <v>49</v>
      </c>
      <c r="EU4">
        <v>35</v>
      </c>
    </row>
    <row r="5" spans="1:151" x14ac:dyDescent="0.25">
      <c r="A5" t="s">
        <v>140</v>
      </c>
      <c r="B5">
        <v>66</v>
      </c>
      <c r="C5">
        <v>46</v>
      </c>
      <c r="D5">
        <v>63</v>
      </c>
      <c r="E5">
        <v>54</v>
      </c>
      <c r="F5">
        <v>68</v>
      </c>
      <c r="G5">
        <v>59</v>
      </c>
      <c r="H5">
        <v>83</v>
      </c>
      <c r="I5">
        <v>44</v>
      </c>
      <c r="J5">
        <v>76</v>
      </c>
      <c r="K5">
        <v>75</v>
      </c>
      <c r="L5">
        <v>68</v>
      </c>
      <c r="M5">
        <v>41</v>
      </c>
      <c r="N5">
        <v>94</v>
      </c>
      <c r="O5">
        <v>72</v>
      </c>
      <c r="P5">
        <v>57</v>
      </c>
      <c r="Q5">
        <v>55</v>
      </c>
      <c r="R5">
        <v>65</v>
      </c>
      <c r="S5">
        <v>51</v>
      </c>
      <c r="T5">
        <v>74</v>
      </c>
      <c r="U5">
        <v>78</v>
      </c>
      <c r="V5">
        <v>43</v>
      </c>
      <c r="W5">
        <v>51</v>
      </c>
      <c r="X5">
        <v>80</v>
      </c>
      <c r="Y5">
        <v>86</v>
      </c>
      <c r="Z5">
        <v>89</v>
      </c>
      <c r="AA5">
        <v>41</v>
      </c>
      <c r="AB5">
        <v>86</v>
      </c>
      <c r="AC5">
        <v>89</v>
      </c>
      <c r="AD5">
        <v>75</v>
      </c>
      <c r="AE5">
        <v>45</v>
      </c>
      <c r="AF5">
        <v>40</v>
      </c>
      <c r="AG5">
        <v>68</v>
      </c>
      <c r="AH5">
        <v>93</v>
      </c>
      <c r="AI5">
        <v>66</v>
      </c>
      <c r="AJ5">
        <v>73</v>
      </c>
      <c r="AK5">
        <v>69</v>
      </c>
      <c r="AL5">
        <v>97</v>
      </c>
      <c r="AM5">
        <v>51</v>
      </c>
      <c r="AN5">
        <v>54</v>
      </c>
      <c r="AO5">
        <v>40</v>
      </c>
      <c r="AP5">
        <v>54</v>
      </c>
      <c r="AQ5">
        <v>66</v>
      </c>
      <c r="AR5">
        <v>60</v>
      </c>
      <c r="AS5">
        <v>77</v>
      </c>
      <c r="AT5">
        <v>38</v>
      </c>
      <c r="AU5">
        <v>79</v>
      </c>
      <c r="AV5">
        <v>67</v>
      </c>
      <c r="AW5">
        <v>75</v>
      </c>
      <c r="AX5">
        <v>72</v>
      </c>
      <c r="AY5">
        <v>86</v>
      </c>
      <c r="AZ5">
        <v>94</v>
      </c>
      <c r="BA5">
        <v>71</v>
      </c>
      <c r="BB5">
        <v>53</v>
      </c>
      <c r="BC5">
        <v>88</v>
      </c>
      <c r="BD5">
        <v>89</v>
      </c>
      <c r="BE5">
        <v>52</v>
      </c>
      <c r="BF5">
        <v>55</v>
      </c>
      <c r="BG5">
        <v>65</v>
      </c>
      <c r="BH5">
        <v>45</v>
      </c>
      <c r="BI5">
        <v>88</v>
      </c>
      <c r="BJ5">
        <v>37</v>
      </c>
      <c r="BK5">
        <v>63</v>
      </c>
      <c r="BL5">
        <v>86</v>
      </c>
      <c r="BM5">
        <v>45</v>
      </c>
      <c r="BN5">
        <v>62</v>
      </c>
      <c r="BO5">
        <v>45</v>
      </c>
      <c r="BP5">
        <v>38</v>
      </c>
      <c r="BQ5">
        <v>62</v>
      </c>
      <c r="BR5">
        <v>74</v>
      </c>
      <c r="BS5">
        <v>66</v>
      </c>
      <c r="BT5">
        <v>43</v>
      </c>
      <c r="BU5">
        <v>93</v>
      </c>
      <c r="BV5">
        <v>94</v>
      </c>
      <c r="BW5">
        <v>94</v>
      </c>
      <c r="BX5">
        <v>80</v>
      </c>
      <c r="BY5">
        <v>45</v>
      </c>
      <c r="BZ5">
        <v>37</v>
      </c>
      <c r="CA5">
        <v>95</v>
      </c>
      <c r="CB5">
        <v>67</v>
      </c>
      <c r="CC5">
        <v>59</v>
      </c>
      <c r="CD5">
        <v>64</v>
      </c>
      <c r="CE5">
        <v>40</v>
      </c>
      <c r="CF5">
        <v>95</v>
      </c>
      <c r="CG5">
        <v>43</v>
      </c>
      <c r="CH5">
        <v>45</v>
      </c>
      <c r="CI5">
        <v>91</v>
      </c>
      <c r="CJ5">
        <v>62</v>
      </c>
      <c r="CK5">
        <v>35</v>
      </c>
      <c r="CL5">
        <v>93</v>
      </c>
      <c r="CM5">
        <v>54</v>
      </c>
      <c r="CN5">
        <v>91</v>
      </c>
      <c r="CO5">
        <v>91</v>
      </c>
      <c r="CP5">
        <v>64</v>
      </c>
      <c r="CQ5">
        <v>58</v>
      </c>
      <c r="CR5">
        <v>48</v>
      </c>
      <c r="CS5">
        <v>93</v>
      </c>
      <c r="CT5">
        <v>35</v>
      </c>
      <c r="CU5">
        <v>91</v>
      </c>
      <c r="CV5">
        <v>38</v>
      </c>
      <c r="CW5">
        <v>49</v>
      </c>
      <c r="CX5">
        <v>88</v>
      </c>
      <c r="CY5">
        <v>100</v>
      </c>
      <c r="CZ5">
        <v>35</v>
      </c>
      <c r="DA5">
        <v>77</v>
      </c>
      <c r="DB5">
        <v>64</v>
      </c>
      <c r="DC5">
        <v>54</v>
      </c>
      <c r="DD5">
        <v>47</v>
      </c>
      <c r="DE5">
        <v>68</v>
      </c>
      <c r="DF5">
        <v>75</v>
      </c>
      <c r="DG5">
        <v>46</v>
      </c>
      <c r="DH5">
        <v>40</v>
      </c>
      <c r="DI5">
        <v>87</v>
      </c>
      <c r="DJ5">
        <v>98</v>
      </c>
      <c r="DK5">
        <v>71</v>
      </c>
      <c r="DL5">
        <v>93</v>
      </c>
      <c r="DM5">
        <v>72</v>
      </c>
      <c r="DN5">
        <v>71</v>
      </c>
      <c r="DO5">
        <v>40</v>
      </c>
      <c r="DP5">
        <v>76</v>
      </c>
      <c r="DQ5">
        <v>69</v>
      </c>
      <c r="DR5">
        <v>94</v>
      </c>
      <c r="DS5">
        <v>36</v>
      </c>
      <c r="DT5">
        <v>82</v>
      </c>
      <c r="DU5">
        <v>63</v>
      </c>
      <c r="DV5">
        <v>73</v>
      </c>
      <c r="DW5">
        <v>82</v>
      </c>
      <c r="DX5">
        <v>39</v>
      </c>
      <c r="DY5">
        <v>82</v>
      </c>
      <c r="DZ5">
        <v>62</v>
      </c>
      <c r="EA5">
        <v>43</v>
      </c>
      <c r="EB5">
        <v>70</v>
      </c>
      <c r="EC5">
        <v>36</v>
      </c>
      <c r="ED5">
        <v>88</v>
      </c>
      <c r="EE5">
        <v>92</v>
      </c>
      <c r="EF5">
        <v>96</v>
      </c>
      <c r="EG5">
        <v>45</v>
      </c>
      <c r="EH5">
        <v>83</v>
      </c>
      <c r="EI5">
        <v>90</v>
      </c>
      <c r="EJ5">
        <v>75</v>
      </c>
      <c r="EK5">
        <v>46</v>
      </c>
      <c r="EL5">
        <v>42</v>
      </c>
      <c r="EM5">
        <v>71</v>
      </c>
      <c r="EN5">
        <v>48</v>
      </c>
      <c r="EO5">
        <v>69</v>
      </c>
      <c r="EP5">
        <v>53</v>
      </c>
      <c r="EQ5">
        <v>83</v>
      </c>
      <c r="ER5">
        <v>41</v>
      </c>
      <c r="ES5">
        <v>91</v>
      </c>
      <c r="ET5">
        <v>71</v>
      </c>
      <c r="EU5">
        <v>61</v>
      </c>
    </row>
    <row r="6" spans="1:151" x14ac:dyDescent="0.25">
      <c r="A6" t="s">
        <v>139</v>
      </c>
      <c r="B6">
        <v>63</v>
      </c>
      <c r="C6">
        <v>62</v>
      </c>
      <c r="D6">
        <v>92</v>
      </c>
      <c r="E6">
        <v>62</v>
      </c>
      <c r="F6">
        <v>40</v>
      </c>
      <c r="G6">
        <v>43</v>
      </c>
      <c r="H6">
        <v>70</v>
      </c>
      <c r="I6">
        <v>56</v>
      </c>
      <c r="J6">
        <v>42</v>
      </c>
      <c r="K6">
        <v>62</v>
      </c>
      <c r="L6">
        <v>89</v>
      </c>
      <c r="M6">
        <v>49</v>
      </c>
      <c r="N6">
        <v>67</v>
      </c>
      <c r="O6">
        <v>90</v>
      </c>
      <c r="P6">
        <v>99</v>
      </c>
      <c r="Q6">
        <v>35</v>
      </c>
      <c r="R6">
        <v>42</v>
      </c>
      <c r="S6">
        <v>95</v>
      </c>
      <c r="T6">
        <v>86</v>
      </c>
      <c r="U6">
        <v>37</v>
      </c>
      <c r="V6">
        <v>39</v>
      </c>
      <c r="W6">
        <v>95</v>
      </c>
      <c r="X6">
        <v>89</v>
      </c>
      <c r="Y6">
        <v>78</v>
      </c>
      <c r="Z6">
        <v>58</v>
      </c>
      <c r="AA6">
        <v>36</v>
      </c>
      <c r="AB6">
        <v>42</v>
      </c>
      <c r="AC6">
        <v>97</v>
      </c>
      <c r="AD6">
        <v>42</v>
      </c>
      <c r="AE6">
        <v>58</v>
      </c>
      <c r="AF6">
        <v>45</v>
      </c>
      <c r="AG6">
        <v>85</v>
      </c>
      <c r="AH6">
        <v>47</v>
      </c>
      <c r="AI6">
        <v>82</v>
      </c>
      <c r="AJ6">
        <v>48</v>
      </c>
      <c r="AK6">
        <v>71</v>
      </c>
      <c r="AL6">
        <v>67</v>
      </c>
      <c r="AM6">
        <v>68</v>
      </c>
      <c r="AN6">
        <v>39</v>
      </c>
      <c r="AO6">
        <v>80</v>
      </c>
      <c r="AP6">
        <v>65</v>
      </c>
      <c r="AQ6">
        <v>69</v>
      </c>
      <c r="AR6">
        <v>93</v>
      </c>
      <c r="AS6">
        <v>70</v>
      </c>
      <c r="AT6">
        <v>49</v>
      </c>
      <c r="AU6">
        <v>75</v>
      </c>
      <c r="AV6">
        <v>40</v>
      </c>
      <c r="AW6">
        <v>50</v>
      </c>
      <c r="AX6">
        <v>51</v>
      </c>
      <c r="AY6">
        <v>35</v>
      </c>
      <c r="AZ6">
        <v>91</v>
      </c>
      <c r="BA6">
        <v>100</v>
      </c>
      <c r="BB6">
        <v>38</v>
      </c>
      <c r="BC6">
        <v>59</v>
      </c>
      <c r="BD6">
        <v>63</v>
      </c>
      <c r="BE6">
        <v>94</v>
      </c>
      <c r="BF6">
        <v>95</v>
      </c>
      <c r="BG6">
        <v>70</v>
      </c>
      <c r="BH6">
        <v>52</v>
      </c>
      <c r="BI6">
        <v>87</v>
      </c>
      <c r="BJ6">
        <v>83</v>
      </c>
      <c r="BK6">
        <v>97</v>
      </c>
      <c r="BL6">
        <v>56</v>
      </c>
      <c r="BM6">
        <v>89</v>
      </c>
      <c r="BN6">
        <v>93</v>
      </c>
      <c r="BO6">
        <v>95</v>
      </c>
      <c r="BP6">
        <v>66</v>
      </c>
      <c r="BQ6">
        <v>94</v>
      </c>
      <c r="BR6">
        <v>48</v>
      </c>
      <c r="BS6">
        <v>48</v>
      </c>
      <c r="BT6">
        <v>99</v>
      </c>
      <c r="BU6">
        <v>54</v>
      </c>
      <c r="BV6">
        <v>90</v>
      </c>
      <c r="BW6">
        <v>83</v>
      </c>
      <c r="BX6">
        <v>68</v>
      </c>
      <c r="BY6">
        <v>65</v>
      </c>
      <c r="BZ6">
        <v>46</v>
      </c>
      <c r="CA6">
        <v>79</v>
      </c>
      <c r="CB6">
        <v>64</v>
      </c>
      <c r="CC6">
        <v>62</v>
      </c>
      <c r="CD6">
        <v>81</v>
      </c>
      <c r="CE6">
        <v>41</v>
      </c>
      <c r="CF6">
        <v>96</v>
      </c>
      <c r="CG6">
        <v>86</v>
      </c>
      <c r="CH6">
        <v>66</v>
      </c>
      <c r="CI6">
        <v>73</v>
      </c>
      <c r="CJ6">
        <v>68</v>
      </c>
      <c r="CK6">
        <v>87</v>
      </c>
      <c r="CL6">
        <v>44</v>
      </c>
      <c r="CM6">
        <v>69</v>
      </c>
      <c r="CN6">
        <v>50</v>
      </c>
      <c r="CO6">
        <v>45</v>
      </c>
      <c r="CP6">
        <v>37</v>
      </c>
      <c r="CQ6">
        <v>90</v>
      </c>
      <c r="CR6">
        <v>55</v>
      </c>
      <c r="CS6">
        <v>46</v>
      </c>
      <c r="CT6">
        <v>94</v>
      </c>
      <c r="CU6">
        <v>41</v>
      </c>
      <c r="CV6">
        <v>65</v>
      </c>
      <c r="CW6">
        <v>94</v>
      </c>
      <c r="CX6">
        <v>96</v>
      </c>
      <c r="CY6">
        <v>52</v>
      </c>
      <c r="CZ6">
        <v>71</v>
      </c>
      <c r="DA6">
        <v>83</v>
      </c>
      <c r="DB6">
        <v>87</v>
      </c>
      <c r="DC6">
        <v>98</v>
      </c>
      <c r="DD6">
        <v>93</v>
      </c>
      <c r="DE6">
        <v>78</v>
      </c>
      <c r="DF6">
        <v>97</v>
      </c>
      <c r="DG6">
        <v>90</v>
      </c>
      <c r="DH6">
        <v>76</v>
      </c>
      <c r="DI6">
        <v>58</v>
      </c>
      <c r="DJ6">
        <v>53</v>
      </c>
      <c r="DK6">
        <v>55</v>
      </c>
      <c r="DL6">
        <v>73</v>
      </c>
      <c r="DM6">
        <v>72</v>
      </c>
      <c r="DN6">
        <v>64</v>
      </c>
      <c r="DO6">
        <v>74</v>
      </c>
      <c r="DP6">
        <v>88</v>
      </c>
      <c r="DQ6">
        <v>56</v>
      </c>
      <c r="DR6">
        <v>44</v>
      </c>
      <c r="DS6">
        <v>68</v>
      </c>
      <c r="DT6">
        <v>48</v>
      </c>
      <c r="DU6">
        <v>43</v>
      </c>
      <c r="DV6">
        <v>98</v>
      </c>
      <c r="DW6">
        <v>88</v>
      </c>
      <c r="DX6">
        <v>82</v>
      </c>
      <c r="DY6">
        <v>80</v>
      </c>
      <c r="DZ6">
        <v>37</v>
      </c>
      <c r="EA6">
        <v>61</v>
      </c>
      <c r="EB6">
        <v>53</v>
      </c>
      <c r="EC6">
        <v>80</v>
      </c>
      <c r="ED6">
        <v>49</v>
      </c>
      <c r="EE6">
        <v>99</v>
      </c>
      <c r="EF6">
        <v>86</v>
      </c>
      <c r="EG6">
        <v>76</v>
      </c>
      <c r="EH6">
        <v>72</v>
      </c>
      <c r="EI6">
        <v>92</v>
      </c>
      <c r="EJ6">
        <v>89</v>
      </c>
      <c r="EK6">
        <v>45</v>
      </c>
      <c r="EL6">
        <v>77</v>
      </c>
      <c r="EM6">
        <v>74</v>
      </c>
      <c r="EN6">
        <v>79</v>
      </c>
      <c r="EO6">
        <v>38</v>
      </c>
      <c r="EP6">
        <v>86</v>
      </c>
      <c r="EQ6">
        <v>88</v>
      </c>
      <c r="ER6">
        <v>54</v>
      </c>
      <c r="ES6">
        <v>88</v>
      </c>
      <c r="ET6">
        <v>97</v>
      </c>
      <c r="EU6">
        <v>73</v>
      </c>
    </row>
    <row r="7" spans="1:151" x14ac:dyDescent="0.25">
      <c r="A7" t="s">
        <v>138</v>
      </c>
      <c r="B7">
        <v>52</v>
      </c>
      <c r="C7">
        <v>64</v>
      </c>
      <c r="D7">
        <v>70</v>
      </c>
      <c r="E7">
        <v>78</v>
      </c>
      <c r="F7">
        <v>93</v>
      </c>
      <c r="G7">
        <v>40</v>
      </c>
      <c r="H7">
        <v>93</v>
      </c>
      <c r="I7">
        <v>66</v>
      </c>
      <c r="J7">
        <v>64</v>
      </c>
      <c r="K7">
        <v>98</v>
      </c>
      <c r="L7">
        <v>86</v>
      </c>
      <c r="M7">
        <v>54</v>
      </c>
      <c r="N7">
        <v>36</v>
      </c>
      <c r="O7">
        <v>55</v>
      </c>
      <c r="P7">
        <v>48</v>
      </c>
      <c r="Q7">
        <v>76</v>
      </c>
      <c r="R7">
        <v>65</v>
      </c>
      <c r="S7">
        <v>56</v>
      </c>
      <c r="T7">
        <v>82</v>
      </c>
      <c r="U7">
        <v>64</v>
      </c>
      <c r="V7">
        <v>77</v>
      </c>
      <c r="W7">
        <v>66</v>
      </c>
      <c r="X7">
        <v>87</v>
      </c>
      <c r="Y7">
        <v>48</v>
      </c>
      <c r="Z7">
        <v>70</v>
      </c>
      <c r="AA7">
        <v>46</v>
      </c>
      <c r="AB7">
        <v>56</v>
      </c>
      <c r="AC7">
        <v>54</v>
      </c>
      <c r="AD7">
        <v>41</v>
      </c>
      <c r="AE7">
        <v>43</v>
      </c>
      <c r="AF7">
        <v>88</v>
      </c>
      <c r="AG7">
        <v>51</v>
      </c>
      <c r="AH7">
        <v>44</v>
      </c>
      <c r="AI7">
        <v>71</v>
      </c>
      <c r="AJ7">
        <v>52</v>
      </c>
      <c r="AK7">
        <v>61</v>
      </c>
      <c r="AL7">
        <v>41</v>
      </c>
      <c r="AM7">
        <v>55</v>
      </c>
      <c r="AN7">
        <v>82</v>
      </c>
      <c r="AO7">
        <v>61</v>
      </c>
      <c r="AP7">
        <v>55</v>
      </c>
      <c r="AQ7">
        <v>55</v>
      </c>
      <c r="AR7">
        <v>79</v>
      </c>
      <c r="AS7">
        <v>43</v>
      </c>
      <c r="AT7">
        <v>68</v>
      </c>
      <c r="AU7">
        <v>90</v>
      </c>
      <c r="AV7">
        <v>90</v>
      </c>
      <c r="AW7">
        <v>73</v>
      </c>
      <c r="AX7">
        <v>59</v>
      </c>
      <c r="AY7">
        <v>73</v>
      </c>
      <c r="AZ7">
        <v>91</v>
      </c>
      <c r="BA7">
        <v>77</v>
      </c>
      <c r="BB7">
        <v>40</v>
      </c>
      <c r="BC7">
        <v>84</v>
      </c>
      <c r="BD7">
        <v>57</v>
      </c>
      <c r="BE7">
        <v>75</v>
      </c>
      <c r="BF7">
        <v>92</v>
      </c>
      <c r="BG7">
        <v>91</v>
      </c>
      <c r="BH7">
        <v>54</v>
      </c>
      <c r="BI7">
        <v>77</v>
      </c>
      <c r="BJ7">
        <v>96</v>
      </c>
      <c r="BK7">
        <v>63</v>
      </c>
      <c r="BL7">
        <v>94</v>
      </c>
      <c r="BM7">
        <v>52</v>
      </c>
      <c r="BN7">
        <v>76</v>
      </c>
      <c r="BO7">
        <v>37</v>
      </c>
      <c r="BP7">
        <v>60</v>
      </c>
      <c r="BQ7">
        <v>67</v>
      </c>
      <c r="BR7">
        <v>38</v>
      </c>
      <c r="BS7">
        <v>73</v>
      </c>
      <c r="BT7">
        <v>78</v>
      </c>
      <c r="BU7">
        <v>90</v>
      </c>
      <c r="BV7">
        <v>69</v>
      </c>
      <c r="BW7">
        <v>78</v>
      </c>
      <c r="BX7">
        <v>78</v>
      </c>
      <c r="BY7">
        <v>87</v>
      </c>
      <c r="BZ7">
        <v>72</v>
      </c>
      <c r="CA7">
        <v>89</v>
      </c>
      <c r="CB7">
        <v>50</v>
      </c>
      <c r="CC7">
        <v>96</v>
      </c>
      <c r="CD7">
        <v>57</v>
      </c>
      <c r="CE7">
        <v>72</v>
      </c>
      <c r="CF7">
        <v>91</v>
      </c>
      <c r="CG7">
        <v>97</v>
      </c>
      <c r="CH7">
        <v>50</v>
      </c>
      <c r="CI7">
        <v>89</v>
      </c>
      <c r="CJ7">
        <v>45</v>
      </c>
      <c r="CK7">
        <v>92</v>
      </c>
      <c r="CL7">
        <v>64</v>
      </c>
      <c r="CM7">
        <v>53</v>
      </c>
      <c r="CN7">
        <v>94</v>
      </c>
      <c r="CO7">
        <v>40</v>
      </c>
      <c r="CP7">
        <v>69</v>
      </c>
      <c r="CQ7">
        <v>97</v>
      </c>
      <c r="CR7">
        <v>77</v>
      </c>
      <c r="CS7">
        <v>75</v>
      </c>
      <c r="CT7">
        <v>87</v>
      </c>
      <c r="CU7">
        <v>61</v>
      </c>
      <c r="CV7">
        <v>55</v>
      </c>
      <c r="CW7">
        <v>50</v>
      </c>
      <c r="CX7">
        <v>95</v>
      </c>
      <c r="CY7">
        <v>43</v>
      </c>
      <c r="CZ7">
        <v>73</v>
      </c>
      <c r="DA7">
        <v>93</v>
      </c>
      <c r="DB7">
        <v>40</v>
      </c>
      <c r="DC7">
        <v>39</v>
      </c>
      <c r="DD7">
        <v>36</v>
      </c>
      <c r="DE7">
        <v>85</v>
      </c>
      <c r="DF7">
        <v>39</v>
      </c>
      <c r="DG7">
        <v>47</v>
      </c>
      <c r="DH7">
        <v>42</v>
      </c>
      <c r="DI7">
        <v>56</v>
      </c>
      <c r="DJ7">
        <v>64</v>
      </c>
      <c r="DK7">
        <v>44</v>
      </c>
      <c r="DL7">
        <v>60</v>
      </c>
      <c r="DM7">
        <v>37</v>
      </c>
      <c r="DN7">
        <v>80</v>
      </c>
      <c r="DO7">
        <v>91</v>
      </c>
      <c r="DP7">
        <v>57</v>
      </c>
      <c r="DQ7">
        <v>67</v>
      </c>
      <c r="DR7">
        <v>53</v>
      </c>
      <c r="DS7">
        <v>50</v>
      </c>
      <c r="DT7">
        <v>64</v>
      </c>
      <c r="DU7">
        <v>94</v>
      </c>
      <c r="DV7">
        <v>49</v>
      </c>
      <c r="DW7">
        <v>54</v>
      </c>
      <c r="DX7">
        <v>62</v>
      </c>
      <c r="DY7">
        <v>42</v>
      </c>
      <c r="DZ7">
        <v>41</v>
      </c>
      <c r="EA7">
        <v>62</v>
      </c>
      <c r="EB7">
        <v>51</v>
      </c>
      <c r="EC7">
        <v>65</v>
      </c>
      <c r="ED7">
        <v>43</v>
      </c>
      <c r="EE7">
        <v>63</v>
      </c>
      <c r="EF7">
        <v>89</v>
      </c>
      <c r="EG7">
        <v>53</v>
      </c>
      <c r="EH7">
        <v>93</v>
      </c>
      <c r="EI7">
        <v>64</v>
      </c>
      <c r="EJ7">
        <v>75</v>
      </c>
      <c r="EK7">
        <v>46</v>
      </c>
      <c r="EL7">
        <v>50</v>
      </c>
      <c r="EM7">
        <v>80</v>
      </c>
      <c r="EN7">
        <v>82</v>
      </c>
      <c r="EO7">
        <v>58</v>
      </c>
      <c r="EP7">
        <v>43</v>
      </c>
      <c r="EQ7">
        <v>93</v>
      </c>
      <c r="ER7">
        <v>55</v>
      </c>
      <c r="ES7">
        <v>69</v>
      </c>
      <c r="ET7">
        <v>74</v>
      </c>
      <c r="EU7">
        <v>62</v>
      </c>
    </row>
    <row r="8" spans="1:151" x14ac:dyDescent="0.25">
      <c r="A8" t="s">
        <v>137</v>
      </c>
      <c r="B8">
        <v>48</v>
      </c>
      <c r="C8">
        <v>99</v>
      </c>
      <c r="D8">
        <v>35</v>
      </c>
      <c r="E8">
        <v>48</v>
      </c>
      <c r="F8">
        <v>50</v>
      </c>
      <c r="G8">
        <v>64</v>
      </c>
      <c r="H8">
        <v>81</v>
      </c>
      <c r="I8">
        <v>55</v>
      </c>
      <c r="J8">
        <v>39</v>
      </c>
      <c r="K8">
        <v>85</v>
      </c>
      <c r="L8">
        <v>81</v>
      </c>
      <c r="M8">
        <v>55</v>
      </c>
      <c r="N8">
        <v>49</v>
      </c>
      <c r="O8">
        <v>93</v>
      </c>
      <c r="P8">
        <v>73</v>
      </c>
      <c r="Q8">
        <v>97</v>
      </c>
      <c r="R8">
        <v>45</v>
      </c>
      <c r="S8">
        <v>68</v>
      </c>
      <c r="T8">
        <v>91</v>
      </c>
      <c r="U8">
        <v>63</v>
      </c>
      <c r="V8">
        <v>44</v>
      </c>
      <c r="W8">
        <v>95</v>
      </c>
      <c r="X8">
        <v>94</v>
      </c>
      <c r="Y8">
        <v>66</v>
      </c>
      <c r="Z8">
        <v>94</v>
      </c>
      <c r="AA8">
        <v>65</v>
      </c>
      <c r="AB8">
        <v>83</v>
      </c>
      <c r="AC8">
        <v>59</v>
      </c>
      <c r="AD8">
        <v>96</v>
      </c>
      <c r="AE8">
        <v>43</v>
      </c>
      <c r="AF8">
        <v>75</v>
      </c>
      <c r="AG8">
        <v>73</v>
      </c>
      <c r="AH8">
        <v>62</v>
      </c>
      <c r="AI8">
        <v>55</v>
      </c>
      <c r="AJ8">
        <v>68</v>
      </c>
      <c r="AK8">
        <v>78</v>
      </c>
      <c r="AL8">
        <v>46</v>
      </c>
      <c r="AM8">
        <v>91</v>
      </c>
      <c r="AN8">
        <v>53</v>
      </c>
      <c r="AO8">
        <v>66</v>
      </c>
      <c r="AP8">
        <v>57</v>
      </c>
      <c r="AQ8">
        <v>48</v>
      </c>
      <c r="AR8">
        <v>74</v>
      </c>
      <c r="AS8">
        <v>70</v>
      </c>
      <c r="AT8">
        <v>57</v>
      </c>
      <c r="AU8">
        <v>100</v>
      </c>
      <c r="AV8">
        <v>35</v>
      </c>
      <c r="AW8">
        <v>99</v>
      </c>
      <c r="AX8">
        <v>88</v>
      </c>
      <c r="AY8">
        <v>71</v>
      </c>
      <c r="AZ8">
        <v>62</v>
      </c>
      <c r="BA8">
        <v>46</v>
      </c>
      <c r="BB8">
        <v>66</v>
      </c>
      <c r="BC8">
        <v>98</v>
      </c>
      <c r="BD8">
        <v>94</v>
      </c>
      <c r="BE8">
        <v>91</v>
      </c>
      <c r="BF8">
        <v>68</v>
      </c>
      <c r="BG8">
        <v>44</v>
      </c>
      <c r="BH8">
        <v>64</v>
      </c>
      <c r="BI8">
        <v>94</v>
      </c>
      <c r="BJ8">
        <v>35</v>
      </c>
      <c r="BK8">
        <v>69</v>
      </c>
      <c r="BL8">
        <v>51</v>
      </c>
      <c r="BM8">
        <v>94</v>
      </c>
      <c r="BN8">
        <v>78</v>
      </c>
      <c r="BO8">
        <v>41</v>
      </c>
      <c r="BP8">
        <v>37</v>
      </c>
      <c r="BQ8">
        <v>82</v>
      </c>
      <c r="BR8">
        <v>74</v>
      </c>
      <c r="BS8">
        <v>50</v>
      </c>
      <c r="BT8">
        <v>36</v>
      </c>
      <c r="BU8">
        <v>57</v>
      </c>
      <c r="BV8">
        <v>76</v>
      </c>
      <c r="BW8">
        <v>38</v>
      </c>
      <c r="BX8">
        <v>70</v>
      </c>
      <c r="BY8">
        <v>97</v>
      </c>
      <c r="BZ8">
        <v>63</v>
      </c>
      <c r="CA8">
        <v>77</v>
      </c>
      <c r="CB8">
        <v>59</v>
      </c>
      <c r="CC8">
        <v>70</v>
      </c>
      <c r="CD8">
        <v>73</v>
      </c>
      <c r="CE8">
        <v>51</v>
      </c>
      <c r="CF8">
        <v>78</v>
      </c>
      <c r="CG8">
        <v>44</v>
      </c>
      <c r="CH8">
        <v>88</v>
      </c>
      <c r="CI8">
        <v>74</v>
      </c>
      <c r="CJ8">
        <v>55</v>
      </c>
      <c r="CK8">
        <v>95</v>
      </c>
      <c r="CL8">
        <v>68</v>
      </c>
      <c r="CM8">
        <v>44</v>
      </c>
      <c r="CN8">
        <v>73</v>
      </c>
      <c r="CO8">
        <v>90</v>
      </c>
      <c r="CP8">
        <v>40</v>
      </c>
      <c r="CQ8">
        <v>46</v>
      </c>
      <c r="CR8">
        <v>87</v>
      </c>
      <c r="CS8">
        <v>67</v>
      </c>
      <c r="CT8">
        <v>41</v>
      </c>
      <c r="CU8">
        <v>69</v>
      </c>
      <c r="CV8">
        <v>74</v>
      </c>
      <c r="CW8">
        <v>54</v>
      </c>
      <c r="CX8">
        <v>66</v>
      </c>
      <c r="CY8">
        <v>70</v>
      </c>
      <c r="CZ8">
        <v>97</v>
      </c>
      <c r="DA8">
        <v>76</v>
      </c>
      <c r="DB8">
        <v>75</v>
      </c>
      <c r="DC8">
        <v>51</v>
      </c>
      <c r="DD8">
        <v>53</v>
      </c>
      <c r="DE8">
        <v>45</v>
      </c>
      <c r="DF8">
        <v>43</v>
      </c>
      <c r="DG8">
        <v>47</v>
      </c>
      <c r="DH8">
        <v>72</v>
      </c>
      <c r="DI8">
        <v>57</v>
      </c>
      <c r="DJ8">
        <v>94</v>
      </c>
      <c r="DK8">
        <v>91</v>
      </c>
      <c r="DL8">
        <v>84</v>
      </c>
      <c r="DM8">
        <v>85</v>
      </c>
      <c r="DN8">
        <v>63</v>
      </c>
      <c r="DO8">
        <v>39</v>
      </c>
      <c r="DP8">
        <v>60</v>
      </c>
      <c r="DQ8">
        <v>96</v>
      </c>
      <c r="DR8">
        <v>63</v>
      </c>
      <c r="DS8">
        <v>93</v>
      </c>
      <c r="DT8">
        <v>95</v>
      </c>
      <c r="DU8">
        <v>73</v>
      </c>
      <c r="DV8">
        <v>47</v>
      </c>
      <c r="DW8">
        <v>88</v>
      </c>
      <c r="DX8">
        <v>91</v>
      </c>
      <c r="DY8">
        <v>85</v>
      </c>
      <c r="DZ8">
        <v>77</v>
      </c>
      <c r="EA8">
        <v>64</v>
      </c>
      <c r="EB8">
        <v>67</v>
      </c>
      <c r="EC8">
        <v>76</v>
      </c>
      <c r="ED8">
        <v>95</v>
      </c>
      <c r="EE8">
        <v>40</v>
      </c>
      <c r="EF8">
        <v>48</v>
      </c>
      <c r="EG8">
        <v>43</v>
      </c>
      <c r="EH8">
        <v>99</v>
      </c>
      <c r="EI8">
        <v>87</v>
      </c>
      <c r="EJ8">
        <v>67</v>
      </c>
      <c r="EK8">
        <v>90</v>
      </c>
      <c r="EL8">
        <v>87</v>
      </c>
      <c r="EM8">
        <v>48</v>
      </c>
      <c r="EN8">
        <v>49</v>
      </c>
      <c r="EO8">
        <v>69</v>
      </c>
      <c r="EP8">
        <v>53</v>
      </c>
      <c r="EQ8">
        <v>78</v>
      </c>
      <c r="ER8">
        <v>41</v>
      </c>
      <c r="ES8">
        <v>62</v>
      </c>
      <c r="ET8">
        <v>40</v>
      </c>
      <c r="EU8">
        <v>52</v>
      </c>
    </row>
    <row r="9" spans="1:151" x14ac:dyDescent="0.25">
      <c r="A9" t="s">
        <v>136</v>
      </c>
      <c r="B9">
        <v>46</v>
      </c>
      <c r="C9">
        <v>38</v>
      </c>
      <c r="D9">
        <v>55</v>
      </c>
      <c r="E9">
        <v>46</v>
      </c>
      <c r="F9">
        <v>83</v>
      </c>
      <c r="G9">
        <v>72</v>
      </c>
      <c r="H9">
        <v>55</v>
      </c>
      <c r="I9">
        <v>94</v>
      </c>
      <c r="J9">
        <v>75</v>
      </c>
      <c r="K9">
        <v>93</v>
      </c>
      <c r="L9">
        <v>63</v>
      </c>
      <c r="M9">
        <v>89</v>
      </c>
      <c r="N9">
        <v>69</v>
      </c>
      <c r="O9">
        <v>35</v>
      </c>
      <c r="P9">
        <v>99</v>
      </c>
      <c r="Q9">
        <v>37</v>
      </c>
      <c r="R9">
        <v>45</v>
      </c>
      <c r="S9">
        <v>89</v>
      </c>
      <c r="T9">
        <v>92</v>
      </c>
      <c r="U9">
        <v>35</v>
      </c>
      <c r="V9">
        <v>100</v>
      </c>
      <c r="W9">
        <v>87</v>
      </c>
      <c r="X9">
        <v>41</v>
      </c>
      <c r="Y9">
        <v>59</v>
      </c>
      <c r="Z9">
        <v>66</v>
      </c>
      <c r="AA9">
        <v>56</v>
      </c>
      <c r="AB9">
        <v>35</v>
      </c>
      <c r="AC9">
        <v>72</v>
      </c>
      <c r="AD9">
        <v>99</v>
      </c>
      <c r="AE9">
        <v>65</v>
      </c>
      <c r="AF9">
        <v>68</v>
      </c>
      <c r="AG9">
        <v>93</v>
      </c>
      <c r="AH9">
        <v>99</v>
      </c>
      <c r="AI9">
        <v>91</v>
      </c>
      <c r="AJ9">
        <v>49</v>
      </c>
      <c r="AK9">
        <v>61</v>
      </c>
      <c r="AL9">
        <v>89</v>
      </c>
      <c r="AM9">
        <v>89</v>
      </c>
      <c r="AN9">
        <v>90</v>
      </c>
      <c r="AO9">
        <v>48</v>
      </c>
      <c r="AP9">
        <v>87</v>
      </c>
      <c r="AQ9">
        <v>83</v>
      </c>
      <c r="AR9">
        <v>64</v>
      </c>
      <c r="AS9">
        <v>79</v>
      </c>
      <c r="AT9">
        <v>68</v>
      </c>
      <c r="AU9">
        <v>49</v>
      </c>
      <c r="AV9">
        <v>60</v>
      </c>
      <c r="AW9">
        <v>74</v>
      </c>
      <c r="AX9">
        <v>83</v>
      </c>
      <c r="AY9">
        <v>61</v>
      </c>
      <c r="AZ9">
        <v>100</v>
      </c>
      <c r="BA9">
        <v>65</v>
      </c>
      <c r="BB9">
        <v>95</v>
      </c>
      <c r="BC9">
        <v>86</v>
      </c>
      <c r="BD9">
        <v>41</v>
      </c>
      <c r="BE9">
        <v>99</v>
      </c>
      <c r="BF9">
        <v>66</v>
      </c>
      <c r="BG9">
        <v>71</v>
      </c>
      <c r="BH9">
        <v>84</v>
      </c>
      <c r="BI9">
        <v>88</v>
      </c>
      <c r="BJ9">
        <v>80</v>
      </c>
      <c r="BK9">
        <v>90</v>
      </c>
      <c r="BL9">
        <v>38</v>
      </c>
      <c r="BM9">
        <v>58</v>
      </c>
      <c r="BN9">
        <v>83</v>
      </c>
      <c r="BO9">
        <v>79</v>
      </c>
      <c r="BP9">
        <v>54</v>
      </c>
      <c r="BQ9">
        <v>56</v>
      </c>
      <c r="BR9">
        <v>83</v>
      </c>
      <c r="BS9">
        <v>40</v>
      </c>
      <c r="BT9">
        <v>88</v>
      </c>
      <c r="BU9">
        <v>69</v>
      </c>
      <c r="BV9">
        <v>66</v>
      </c>
      <c r="BW9">
        <v>98</v>
      </c>
      <c r="BX9">
        <v>70</v>
      </c>
      <c r="BY9">
        <v>65</v>
      </c>
      <c r="BZ9">
        <v>86</v>
      </c>
      <c r="CA9">
        <v>80</v>
      </c>
      <c r="CB9">
        <v>75</v>
      </c>
      <c r="CC9">
        <v>71</v>
      </c>
      <c r="CD9">
        <v>36</v>
      </c>
      <c r="CE9">
        <v>97</v>
      </c>
      <c r="CF9">
        <v>58</v>
      </c>
      <c r="CG9">
        <v>41</v>
      </c>
      <c r="CH9">
        <v>63</v>
      </c>
      <c r="CI9">
        <v>42</v>
      </c>
      <c r="CJ9">
        <v>65</v>
      </c>
      <c r="CK9">
        <v>72</v>
      </c>
      <c r="CL9">
        <v>60</v>
      </c>
      <c r="CM9">
        <v>42</v>
      </c>
      <c r="CN9">
        <v>86</v>
      </c>
      <c r="CO9">
        <v>76</v>
      </c>
      <c r="CP9">
        <v>57</v>
      </c>
      <c r="CQ9">
        <v>95</v>
      </c>
      <c r="CR9">
        <v>98</v>
      </c>
      <c r="CS9">
        <v>76</v>
      </c>
      <c r="CT9">
        <v>59</v>
      </c>
      <c r="CU9">
        <v>51</v>
      </c>
      <c r="CV9">
        <v>36</v>
      </c>
      <c r="CW9">
        <v>98</v>
      </c>
      <c r="CX9">
        <v>93</v>
      </c>
      <c r="CY9">
        <v>88</v>
      </c>
      <c r="CZ9">
        <v>54</v>
      </c>
      <c r="DA9">
        <v>59</v>
      </c>
      <c r="DB9">
        <v>95</v>
      </c>
      <c r="DC9">
        <v>99</v>
      </c>
      <c r="DD9">
        <v>87</v>
      </c>
      <c r="DE9">
        <v>77</v>
      </c>
      <c r="DF9">
        <v>65</v>
      </c>
      <c r="DG9">
        <v>91</v>
      </c>
      <c r="DH9">
        <v>80</v>
      </c>
      <c r="DI9">
        <v>45</v>
      </c>
      <c r="DJ9">
        <v>67</v>
      </c>
      <c r="DK9">
        <v>79</v>
      </c>
      <c r="DL9">
        <v>96</v>
      </c>
      <c r="DM9">
        <v>70</v>
      </c>
      <c r="DN9">
        <v>59</v>
      </c>
      <c r="DO9">
        <v>81</v>
      </c>
      <c r="DP9">
        <v>51</v>
      </c>
      <c r="DQ9">
        <v>72</v>
      </c>
      <c r="DR9">
        <v>85</v>
      </c>
      <c r="DS9">
        <v>82</v>
      </c>
      <c r="DT9">
        <v>38</v>
      </c>
      <c r="DU9">
        <v>87</v>
      </c>
      <c r="DV9">
        <v>65</v>
      </c>
      <c r="DW9">
        <v>47</v>
      </c>
      <c r="DX9">
        <v>91</v>
      </c>
      <c r="DY9">
        <v>70</v>
      </c>
      <c r="DZ9">
        <v>66</v>
      </c>
      <c r="EA9">
        <v>77</v>
      </c>
      <c r="EB9">
        <v>57</v>
      </c>
      <c r="EC9">
        <v>37</v>
      </c>
      <c r="ED9">
        <v>92</v>
      </c>
      <c r="EE9">
        <v>73</v>
      </c>
      <c r="EF9">
        <v>97</v>
      </c>
      <c r="EG9">
        <v>51</v>
      </c>
      <c r="EH9">
        <v>90</v>
      </c>
      <c r="EI9">
        <v>78</v>
      </c>
      <c r="EJ9">
        <v>82</v>
      </c>
      <c r="EK9">
        <v>47</v>
      </c>
      <c r="EL9">
        <v>80</v>
      </c>
      <c r="EM9">
        <v>99</v>
      </c>
      <c r="EN9">
        <v>70</v>
      </c>
      <c r="EO9">
        <v>74</v>
      </c>
      <c r="EP9">
        <v>38</v>
      </c>
      <c r="EQ9">
        <v>55</v>
      </c>
      <c r="ER9">
        <v>45</v>
      </c>
      <c r="ES9">
        <v>100</v>
      </c>
      <c r="ET9">
        <v>63</v>
      </c>
      <c r="EU9">
        <v>67</v>
      </c>
    </row>
    <row r="10" spans="1:151" x14ac:dyDescent="0.25">
      <c r="A10" t="s">
        <v>135</v>
      </c>
      <c r="B10">
        <f>SUM(B4:B9)</f>
        <v>345</v>
      </c>
      <c r="C10">
        <f>SUM(C4:C9)</f>
        <v>347</v>
      </c>
      <c r="D10">
        <f>SUM(D4:D9)</f>
        <v>403</v>
      </c>
      <c r="E10">
        <f>SUM(E4:E9)</f>
        <v>358</v>
      </c>
      <c r="F10">
        <f>SUM(F4:F9)</f>
        <v>413</v>
      </c>
      <c r="G10" t="s">
        <v>508</v>
      </c>
      <c r="H10" t="s">
        <v>508</v>
      </c>
      <c r="I10" t="s">
        <v>508</v>
      </c>
      <c r="J10" t="s">
        <v>508</v>
      </c>
      <c r="K10" t="s">
        <v>508</v>
      </c>
      <c r="L10" t="s">
        <v>508</v>
      </c>
      <c r="M10" t="s">
        <v>508</v>
      </c>
      <c r="N10" t="s">
        <v>508</v>
      </c>
      <c r="O10" t="s">
        <v>508</v>
      </c>
      <c r="P10" t="s">
        <v>508</v>
      </c>
      <c r="Q10" t="s">
        <v>508</v>
      </c>
      <c r="R10" t="s">
        <v>508</v>
      </c>
      <c r="S10" t="s">
        <v>508</v>
      </c>
      <c r="T10" t="s">
        <v>508</v>
      </c>
      <c r="U10" t="s">
        <v>508</v>
      </c>
      <c r="V10" t="s">
        <v>508</v>
      </c>
      <c r="W10" t="s">
        <v>508</v>
      </c>
      <c r="X10" t="s">
        <v>508</v>
      </c>
      <c r="Y10" t="s">
        <v>508</v>
      </c>
      <c r="Z10" t="s">
        <v>508</v>
      </c>
      <c r="AA10" t="s">
        <v>508</v>
      </c>
      <c r="AB10" t="s">
        <v>508</v>
      </c>
      <c r="AC10" t="s">
        <v>508</v>
      </c>
      <c r="AD10" t="s">
        <v>508</v>
      </c>
      <c r="AE10" t="s">
        <v>508</v>
      </c>
      <c r="AF10" t="s">
        <v>508</v>
      </c>
      <c r="AG10" t="s">
        <v>508</v>
      </c>
      <c r="AH10" t="s">
        <v>508</v>
      </c>
      <c r="AI10" t="s">
        <v>508</v>
      </c>
      <c r="AJ10" t="s">
        <v>508</v>
      </c>
      <c r="AK10" t="s">
        <v>508</v>
      </c>
      <c r="AL10" t="s">
        <v>508</v>
      </c>
      <c r="AM10" t="s">
        <v>508</v>
      </c>
      <c r="AN10" t="s">
        <v>508</v>
      </c>
      <c r="AO10" t="s">
        <v>508</v>
      </c>
      <c r="AP10" t="s">
        <v>508</v>
      </c>
      <c r="AQ10" t="s">
        <v>508</v>
      </c>
      <c r="AR10" t="s">
        <v>508</v>
      </c>
      <c r="AS10" t="s">
        <v>508</v>
      </c>
      <c r="AT10" t="s">
        <v>508</v>
      </c>
      <c r="AU10" t="s">
        <v>508</v>
      </c>
      <c r="AV10" t="s">
        <v>508</v>
      </c>
      <c r="AW10" t="s">
        <v>508</v>
      </c>
      <c r="AX10" t="s">
        <v>508</v>
      </c>
      <c r="AY10" t="s">
        <v>508</v>
      </c>
      <c r="AZ10" t="s">
        <v>508</v>
      </c>
      <c r="BA10" t="s">
        <v>508</v>
      </c>
      <c r="BB10" t="s">
        <v>508</v>
      </c>
      <c r="BC10" t="s">
        <v>508</v>
      </c>
      <c r="BD10" t="s">
        <v>508</v>
      </c>
      <c r="BE10" t="s">
        <v>508</v>
      </c>
      <c r="BF10" t="s">
        <v>508</v>
      </c>
      <c r="BG10" t="s">
        <v>508</v>
      </c>
      <c r="BH10" t="s">
        <v>508</v>
      </c>
      <c r="BI10" t="s">
        <v>508</v>
      </c>
      <c r="BJ10" t="s">
        <v>508</v>
      </c>
      <c r="BK10" t="s">
        <v>508</v>
      </c>
      <c r="BL10" t="s">
        <v>508</v>
      </c>
      <c r="BM10" t="s">
        <v>508</v>
      </c>
      <c r="BN10" t="s">
        <v>508</v>
      </c>
      <c r="BO10" t="s">
        <v>508</v>
      </c>
      <c r="BP10" t="s">
        <v>508</v>
      </c>
      <c r="BQ10" t="s">
        <v>508</v>
      </c>
      <c r="BR10" t="s">
        <v>508</v>
      </c>
      <c r="BS10" t="s">
        <v>508</v>
      </c>
      <c r="BT10" t="s">
        <v>508</v>
      </c>
      <c r="BU10" t="s">
        <v>508</v>
      </c>
      <c r="BV10" t="s">
        <v>508</v>
      </c>
      <c r="BW10" t="s">
        <v>508</v>
      </c>
      <c r="BX10" t="s">
        <v>508</v>
      </c>
      <c r="BY10" t="s">
        <v>508</v>
      </c>
      <c r="BZ10" t="s">
        <v>508</v>
      </c>
      <c r="CA10" t="s">
        <v>508</v>
      </c>
      <c r="CB10" t="s">
        <v>508</v>
      </c>
      <c r="CC10" t="s">
        <v>508</v>
      </c>
      <c r="CD10" t="s">
        <v>508</v>
      </c>
      <c r="CE10" t="s">
        <v>508</v>
      </c>
      <c r="CF10" t="s">
        <v>508</v>
      </c>
      <c r="CG10" t="s">
        <v>508</v>
      </c>
      <c r="CH10" t="s">
        <v>508</v>
      </c>
      <c r="CI10" t="s">
        <v>508</v>
      </c>
      <c r="CJ10" t="s">
        <v>508</v>
      </c>
      <c r="CK10" t="s">
        <v>508</v>
      </c>
      <c r="CL10" t="s">
        <v>508</v>
      </c>
      <c r="CM10" t="s">
        <v>508</v>
      </c>
      <c r="CN10" t="s">
        <v>508</v>
      </c>
      <c r="CO10" t="s">
        <v>508</v>
      </c>
      <c r="CP10" t="s">
        <v>508</v>
      </c>
      <c r="CQ10" t="s">
        <v>508</v>
      </c>
      <c r="CR10" t="s">
        <v>508</v>
      </c>
      <c r="CS10" t="s">
        <v>508</v>
      </c>
      <c r="CT10" t="s">
        <v>508</v>
      </c>
      <c r="CU10" t="s">
        <v>508</v>
      </c>
      <c r="CV10" t="s">
        <v>508</v>
      </c>
      <c r="CW10" t="s">
        <v>508</v>
      </c>
      <c r="CX10" t="s">
        <v>508</v>
      </c>
      <c r="CY10" t="s">
        <v>508</v>
      </c>
      <c r="CZ10" t="s">
        <v>508</v>
      </c>
      <c r="DA10" t="s">
        <v>508</v>
      </c>
      <c r="DB10" t="s">
        <v>508</v>
      </c>
      <c r="DC10" t="s">
        <v>508</v>
      </c>
      <c r="DD10" t="s">
        <v>508</v>
      </c>
      <c r="DE10" t="s">
        <v>508</v>
      </c>
      <c r="DF10" t="s">
        <v>508</v>
      </c>
      <c r="DG10" t="s">
        <v>508</v>
      </c>
      <c r="DH10" t="s">
        <v>508</v>
      </c>
      <c r="DI10" t="s">
        <v>508</v>
      </c>
      <c r="DJ10" t="s">
        <v>508</v>
      </c>
      <c r="DK10" t="s">
        <v>508</v>
      </c>
      <c r="DL10" t="s">
        <v>508</v>
      </c>
      <c r="DM10" t="s">
        <v>508</v>
      </c>
      <c r="DN10" t="s">
        <v>508</v>
      </c>
      <c r="DO10" t="s">
        <v>508</v>
      </c>
      <c r="DP10" t="s">
        <v>508</v>
      </c>
      <c r="DQ10" t="s">
        <v>508</v>
      </c>
      <c r="DR10" t="s">
        <v>508</v>
      </c>
      <c r="DS10" t="s">
        <v>508</v>
      </c>
      <c r="DT10" t="s">
        <v>508</v>
      </c>
      <c r="DU10" t="s">
        <v>508</v>
      </c>
      <c r="DV10" t="s">
        <v>508</v>
      </c>
      <c r="DW10" t="s">
        <v>508</v>
      </c>
      <c r="DX10" t="s">
        <v>508</v>
      </c>
      <c r="DY10" t="s">
        <v>508</v>
      </c>
      <c r="DZ10" t="s">
        <v>508</v>
      </c>
      <c r="EA10" t="s">
        <v>508</v>
      </c>
      <c r="EB10" t="s">
        <v>508</v>
      </c>
      <c r="EC10" t="s">
        <v>508</v>
      </c>
      <c r="ED10" t="s">
        <v>508</v>
      </c>
      <c r="EE10" t="s">
        <v>508</v>
      </c>
      <c r="EF10" t="s">
        <v>508</v>
      </c>
      <c r="EG10" t="s">
        <v>508</v>
      </c>
      <c r="EH10" t="s">
        <v>508</v>
      </c>
      <c r="EI10" t="s">
        <v>508</v>
      </c>
      <c r="EJ10" t="s">
        <v>508</v>
      </c>
      <c r="EK10" t="s">
        <v>508</v>
      </c>
      <c r="EL10" t="s">
        <v>508</v>
      </c>
      <c r="EM10" t="s">
        <v>508</v>
      </c>
      <c r="EN10" t="s">
        <v>508</v>
      </c>
      <c r="EO10" t="s">
        <v>508</v>
      </c>
      <c r="EP10" t="s">
        <v>508</v>
      </c>
      <c r="EQ10" t="s">
        <v>508</v>
      </c>
      <c r="ER10" t="s">
        <v>508</v>
      </c>
      <c r="ES10" t="s">
        <v>508</v>
      </c>
      <c r="ET10" t="s">
        <v>508</v>
      </c>
      <c r="EU10" t="s">
        <v>508</v>
      </c>
    </row>
    <row r="11" spans="1:151" x14ac:dyDescent="0.25">
      <c r="A11" t="s">
        <v>505</v>
      </c>
      <c r="C11" t="s">
        <v>508</v>
      </c>
      <c r="D11" t="s">
        <v>508</v>
      </c>
      <c r="E11" t="s">
        <v>508</v>
      </c>
      <c r="F11" t="s">
        <v>508</v>
      </c>
      <c r="G11" t="s">
        <v>508</v>
      </c>
      <c r="H11" t="s">
        <v>508</v>
      </c>
      <c r="I11" t="s">
        <v>508</v>
      </c>
      <c r="J11" t="s">
        <v>508</v>
      </c>
      <c r="K11" t="s">
        <v>508</v>
      </c>
      <c r="L11" t="s">
        <v>508</v>
      </c>
      <c r="M11" t="s">
        <v>508</v>
      </c>
      <c r="N11" t="s">
        <v>508</v>
      </c>
      <c r="O11" t="s">
        <v>508</v>
      </c>
      <c r="P11" t="s">
        <v>508</v>
      </c>
      <c r="Q11" t="s">
        <v>508</v>
      </c>
      <c r="R11" t="s">
        <v>508</v>
      </c>
      <c r="S11" t="s">
        <v>508</v>
      </c>
      <c r="T11" t="s">
        <v>508</v>
      </c>
      <c r="U11" t="s">
        <v>508</v>
      </c>
      <c r="V11" t="s">
        <v>508</v>
      </c>
      <c r="W11" t="s">
        <v>508</v>
      </c>
      <c r="X11" t="s">
        <v>508</v>
      </c>
      <c r="Y11" t="s">
        <v>508</v>
      </c>
      <c r="Z11" t="s">
        <v>508</v>
      </c>
      <c r="AA11" t="s">
        <v>508</v>
      </c>
      <c r="AB11" t="s">
        <v>508</v>
      </c>
      <c r="AC11" t="s">
        <v>508</v>
      </c>
      <c r="AD11" t="s">
        <v>508</v>
      </c>
      <c r="AE11" t="s">
        <v>508</v>
      </c>
      <c r="AF11" t="s">
        <v>508</v>
      </c>
      <c r="AG11" t="s">
        <v>508</v>
      </c>
      <c r="AH11" t="s">
        <v>508</v>
      </c>
      <c r="AI11" t="s">
        <v>508</v>
      </c>
      <c r="AJ11" t="s">
        <v>508</v>
      </c>
      <c r="AK11" t="s">
        <v>508</v>
      </c>
      <c r="AL11" t="s">
        <v>508</v>
      </c>
      <c r="AM11" t="s">
        <v>508</v>
      </c>
      <c r="AN11" t="s">
        <v>508</v>
      </c>
      <c r="AO11" t="s">
        <v>508</v>
      </c>
      <c r="AP11" t="s">
        <v>508</v>
      </c>
      <c r="AQ11" t="s">
        <v>508</v>
      </c>
      <c r="AR11" t="s">
        <v>508</v>
      </c>
      <c r="AS11" t="s">
        <v>508</v>
      </c>
      <c r="AT11" t="s">
        <v>508</v>
      </c>
      <c r="AU11" t="s">
        <v>508</v>
      </c>
      <c r="AV11" t="s">
        <v>508</v>
      </c>
      <c r="AW11" t="s">
        <v>508</v>
      </c>
      <c r="AX11" t="s">
        <v>508</v>
      </c>
      <c r="AY11" t="s">
        <v>508</v>
      </c>
      <c r="AZ11" t="s">
        <v>508</v>
      </c>
      <c r="BA11" t="s">
        <v>508</v>
      </c>
      <c r="BB11" t="s">
        <v>508</v>
      </c>
      <c r="BC11" t="s">
        <v>508</v>
      </c>
      <c r="BD11" t="s">
        <v>508</v>
      </c>
      <c r="BE11" t="s">
        <v>508</v>
      </c>
      <c r="BF11" t="s">
        <v>508</v>
      </c>
      <c r="BG11" t="s">
        <v>508</v>
      </c>
      <c r="BH11" t="s">
        <v>508</v>
      </c>
      <c r="BI11" t="s">
        <v>508</v>
      </c>
      <c r="BJ11" t="s">
        <v>508</v>
      </c>
      <c r="BK11" t="s">
        <v>508</v>
      </c>
      <c r="BL11" t="s">
        <v>508</v>
      </c>
      <c r="BM11" t="s">
        <v>508</v>
      </c>
      <c r="BN11" t="s">
        <v>508</v>
      </c>
      <c r="BO11" t="s">
        <v>508</v>
      </c>
      <c r="BP11" t="s">
        <v>508</v>
      </c>
      <c r="BQ11" t="s">
        <v>508</v>
      </c>
      <c r="BR11" t="s">
        <v>508</v>
      </c>
      <c r="BS11" t="s">
        <v>508</v>
      </c>
      <c r="BT11" t="s">
        <v>508</v>
      </c>
      <c r="BU11" t="s">
        <v>508</v>
      </c>
      <c r="BV11" t="s">
        <v>508</v>
      </c>
      <c r="BW11" t="s">
        <v>508</v>
      </c>
      <c r="BX11" t="s">
        <v>508</v>
      </c>
      <c r="BY11" t="s">
        <v>508</v>
      </c>
      <c r="BZ11" t="s">
        <v>508</v>
      </c>
      <c r="CA11" t="s">
        <v>508</v>
      </c>
      <c r="CB11" t="s">
        <v>508</v>
      </c>
      <c r="CC11" t="s">
        <v>508</v>
      </c>
      <c r="CD11" t="s">
        <v>508</v>
      </c>
      <c r="CE11" t="s">
        <v>508</v>
      </c>
      <c r="CF11" t="s">
        <v>508</v>
      </c>
      <c r="CG11" t="s">
        <v>508</v>
      </c>
      <c r="CH11" t="s">
        <v>508</v>
      </c>
      <c r="CI11" t="s">
        <v>508</v>
      </c>
      <c r="CJ11" t="s">
        <v>508</v>
      </c>
      <c r="CK11" t="s">
        <v>508</v>
      </c>
      <c r="CL11" t="s">
        <v>508</v>
      </c>
      <c r="CM11" t="s">
        <v>508</v>
      </c>
      <c r="CN11" t="s">
        <v>508</v>
      </c>
      <c r="CO11" t="s">
        <v>508</v>
      </c>
      <c r="CP11" t="s">
        <v>508</v>
      </c>
      <c r="CQ11" t="s">
        <v>508</v>
      </c>
      <c r="CR11" t="s">
        <v>508</v>
      </c>
      <c r="CS11" t="s">
        <v>508</v>
      </c>
      <c r="CT11" t="s">
        <v>508</v>
      </c>
      <c r="CU11" t="s">
        <v>508</v>
      </c>
      <c r="CV11" t="s">
        <v>508</v>
      </c>
      <c r="CW11" t="s">
        <v>508</v>
      </c>
      <c r="CX11" t="s">
        <v>508</v>
      </c>
      <c r="CY11" t="s">
        <v>508</v>
      </c>
      <c r="CZ11" t="s">
        <v>508</v>
      </c>
      <c r="DA11" t="s">
        <v>508</v>
      </c>
      <c r="DB11" t="s">
        <v>508</v>
      </c>
      <c r="DC11" t="s">
        <v>508</v>
      </c>
      <c r="DD11" t="s">
        <v>508</v>
      </c>
      <c r="DE11" t="s">
        <v>508</v>
      </c>
      <c r="DF11" t="s">
        <v>508</v>
      </c>
      <c r="DG11" t="s">
        <v>508</v>
      </c>
      <c r="DH11" t="s">
        <v>508</v>
      </c>
      <c r="DI11" t="s">
        <v>508</v>
      </c>
      <c r="DJ11" t="s">
        <v>508</v>
      </c>
      <c r="DK11" t="s">
        <v>508</v>
      </c>
      <c r="DL11" t="s">
        <v>508</v>
      </c>
      <c r="DM11" t="s">
        <v>508</v>
      </c>
      <c r="DN11" t="s">
        <v>508</v>
      </c>
      <c r="DO11" t="s">
        <v>508</v>
      </c>
      <c r="DP11" t="s">
        <v>508</v>
      </c>
      <c r="DQ11" t="s">
        <v>508</v>
      </c>
      <c r="DR11" t="s">
        <v>508</v>
      </c>
      <c r="DS11" t="s">
        <v>508</v>
      </c>
      <c r="DT11" t="s">
        <v>508</v>
      </c>
      <c r="DU11" t="s">
        <v>508</v>
      </c>
      <c r="DV11" t="s">
        <v>508</v>
      </c>
      <c r="DW11" t="s">
        <v>508</v>
      </c>
      <c r="DX11" t="s">
        <v>508</v>
      </c>
      <c r="DY11" t="s">
        <v>508</v>
      </c>
      <c r="DZ11" t="s">
        <v>508</v>
      </c>
      <c r="EA11" t="s">
        <v>508</v>
      </c>
      <c r="EB11" t="s">
        <v>508</v>
      </c>
      <c r="EC11" t="s">
        <v>508</v>
      </c>
      <c r="ED11" t="s">
        <v>508</v>
      </c>
      <c r="EE11" t="s">
        <v>508</v>
      </c>
      <c r="EF11" t="s">
        <v>508</v>
      </c>
      <c r="EG11" t="s">
        <v>508</v>
      </c>
      <c r="EH11" t="s">
        <v>508</v>
      </c>
      <c r="EI11" t="s">
        <v>508</v>
      </c>
      <c r="EJ11" t="s">
        <v>508</v>
      </c>
      <c r="EK11" t="s">
        <v>508</v>
      </c>
      <c r="EL11" t="s">
        <v>508</v>
      </c>
      <c r="EM11" t="s">
        <v>508</v>
      </c>
      <c r="EN11" t="s">
        <v>508</v>
      </c>
      <c r="EO11" t="s">
        <v>508</v>
      </c>
      <c r="EP11" t="s">
        <v>508</v>
      </c>
      <c r="EQ11" t="s">
        <v>508</v>
      </c>
      <c r="ER11" t="s">
        <v>508</v>
      </c>
      <c r="ES11" t="s">
        <v>508</v>
      </c>
      <c r="ET11" t="s">
        <v>508</v>
      </c>
      <c r="EU11" t="s">
        <v>508</v>
      </c>
    </row>
    <row r="12" spans="1:151" x14ac:dyDescent="0.25">
      <c r="A12" t="s">
        <v>209</v>
      </c>
      <c r="C12" t="s">
        <v>508</v>
      </c>
      <c r="D12" t="s">
        <v>508</v>
      </c>
      <c r="E12" t="s">
        <v>508</v>
      </c>
      <c r="F12" t="s">
        <v>508</v>
      </c>
      <c r="G12" t="s">
        <v>508</v>
      </c>
      <c r="H12" t="s">
        <v>508</v>
      </c>
      <c r="I12" t="s">
        <v>508</v>
      </c>
      <c r="J12" t="s">
        <v>508</v>
      </c>
      <c r="K12" t="s">
        <v>508</v>
      </c>
      <c r="L12" t="s">
        <v>508</v>
      </c>
      <c r="M12" t="s">
        <v>508</v>
      </c>
      <c r="N12" t="s">
        <v>508</v>
      </c>
      <c r="O12" t="s">
        <v>508</v>
      </c>
      <c r="P12" t="s">
        <v>508</v>
      </c>
      <c r="Q12" t="s">
        <v>508</v>
      </c>
      <c r="R12" t="s">
        <v>508</v>
      </c>
      <c r="S12" t="s">
        <v>508</v>
      </c>
      <c r="T12" t="s">
        <v>508</v>
      </c>
      <c r="U12" t="s">
        <v>508</v>
      </c>
      <c r="V12" t="s">
        <v>508</v>
      </c>
      <c r="W12" t="s">
        <v>508</v>
      </c>
      <c r="X12" t="s">
        <v>508</v>
      </c>
      <c r="Y12" t="s">
        <v>508</v>
      </c>
      <c r="Z12" t="s">
        <v>508</v>
      </c>
      <c r="AA12" t="s">
        <v>508</v>
      </c>
      <c r="AB12" t="s">
        <v>508</v>
      </c>
      <c r="AC12" t="s">
        <v>508</v>
      </c>
      <c r="AD12" t="s">
        <v>508</v>
      </c>
      <c r="AE12" t="s">
        <v>508</v>
      </c>
      <c r="AF12" t="s">
        <v>508</v>
      </c>
      <c r="AG12" t="s">
        <v>508</v>
      </c>
      <c r="AH12" t="s">
        <v>508</v>
      </c>
      <c r="AI12" t="s">
        <v>508</v>
      </c>
      <c r="AJ12" t="s">
        <v>508</v>
      </c>
      <c r="AK12" t="s">
        <v>508</v>
      </c>
      <c r="AL12" t="s">
        <v>508</v>
      </c>
      <c r="AM12" t="s">
        <v>508</v>
      </c>
      <c r="AN12" t="s">
        <v>508</v>
      </c>
      <c r="AO12" t="s">
        <v>508</v>
      </c>
      <c r="AP12" t="s">
        <v>508</v>
      </c>
      <c r="AQ12" t="s">
        <v>508</v>
      </c>
      <c r="AR12" t="s">
        <v>508</v>
      </c>
      <c r="AS12" t="s">
        <v>508</v>
      </c>
      <c r="AT12" t="s">
        <v>508</v>
      </c>
      <c r="AU12" t="s">
        <v>508</v>
      </c>
      <c r="AV12" t="s">
        <v>508</v>
      </c>
      <c r="AW12" t="s">
        <v>508</v>
      </c>
      <c r="AX12" t="s">
        <v>508</v>
      </c>
      <c r="AY12" t="s">
        <v>508</v>
      </c>
      <c r="AZ12" t="s">
        <v>508</v>
      </c>
      <c r="BA12" t="s">
        <v>508</v>
      </c>
      <c r="BB12" t="s">
        <v>508</v>
      </c>
      <c r="BC12" t="s">
        <v>508</v>
      </c>
      <c r="BD12" t="s">
        <v>508</v>
      </c>
      <c r="BE12" t="s">
        <v>508</v>
      </c>
      <c r="BF12" t="s">
        <v>508</v>
      </c>
      <c r="BG12" t="s">
        <v>508</v>
      </c>
      <c r="BH12" t="s">
        <v>508</v>
      </c>
      <c r="BI12" t="s">
        <v>508</v>
      </c>
      <c r="BJ12" t="s">
        <v>508</v>
      </c>
      <c r="BK12" t="s">
        <v>508</v>
      </c>
      <c r="BL12" t="s">
        <v>508</v>
      </c>
      <c r="BM12" t="s">
        <v>508</v>
      </c>
      <c r="BN12" t="s">
        <v>508</v>
      </c>
      <c r="BO12" t="s">
        <v>508</v>
      </c>
      <c r="BP12" t="s">
        <v>508</v>
      </c>
      <c r="BQ12" t="s">
        <v>508</v>
      </c>
      <c r="BR12" t="s">
        <v>508</v>
      </c>
      <c r="BS12" t="s">
        <v>508</v>
      </c>
      <c r="BT12" t="s">
        <v>508</v>
      </c>
      <c r="BU12" t="s">
        <v>508</v>
      </c>
      <c r="BV12" t="s">
        <v>508</v>
      </c>
      <c r="BW12" t="s">
        <v>508</v>
      </c>
      <c r="BX12" t="s">
        <v>508</v>
      </c>
      <c r="BY12" t="s">
        <v>508</v>
      </c>
      <c r="BZ12" t="s">
        <v>508</v>
      </c>
      <c r="CA12" t="s">
        <v>508</v>
      </c>
      <c r="CB12" t="s">
        <v>508</v>
      </c>
      <c r="CC12" t="s">
        <v>508</v>
      </c>
      <c r="CD12" t="s">
        <v>508</v>
      </c>
      <c r="CE12" t="s">
        <v>508</v>
      </c>
      <c r="CF12" t="s">
        <v>508</v>
      </c>
      <c r="CG12" t="s">
        <v>508</v>
      </c>
      <c r="CH12" t="s">
        <v>508</v>
      </c>
      <c r="CI12" t="s">
        <v>508</v>
      </c>
      <c r="CJ12" t="s">
        <v>508</v>
      </c>
      <c r="CK12" t="s">
        <v>508</v>
      </c>
      <c r="CL12" t="s">
        <v>508</v>
      </c>
      <c r="CM12" t="s">
        <v>508</v>
      </c>
      <c r="CN12" t="s">
        <v>508</v>
      </c>
      <c r="CO12" t="s">
        <v>508</v>
      </c>
      <c r="CP12" t="s">
        <v>508</v>
      </c>
      <c r="CQ12" t="s">
        <v>508</v>
      </c>
      <c r="CR12" t="s">
        <v>508</v>
      </c>
      <c r="CS12" t="s">
        <v>508</v>
      </c>
      <c r="CT12" t="s">
        <v>508</v>
      </c>
      <c r="CU12" t="s">
        <v>508</v>
      </c>
      <c r="CV12" t="s">
        <v>508</v>
      </c>
      <c r="CW12" t="s">
        <v>508</v>
      </c>
      <c r="CX12" t="s">
        <v>508</v>
      </c>
      <c r="CY12" t="s">
        <v>508</v>
      </c>
      <c r="CZ12" t="s">
        <v>508</v>
      </c>
      <c r="DA12" t="s">
        <v>508</v>
      </c>
      <c r="DB12" t="s">
        <v>508</v>
      </c>
      <c r="DC12" t="s">
        <v>508</v>
      </c>
      <c r="DD12" t="s">
        <v>508</v>
      </c>
      <c r="DE12" t="s">
        <v>508</v>
      </c>
      <c r="DF12" t="s">
        <v>508</v>
      </c>
      <c r="DG12" t="s">
        <v>508</v>
      </c>
      <c r="DH12" t="s">
        <v>508</v>
      </c>
      <c r="DI12" t="s">
        <v>508</v>
      </c>
      <c r="DJ12" t="s">
        <v>508</v>
      </c>
      <c r="DK12" t="s">
        <v>508</v>
      </c>
      <c r="DL12" t="s">
        <v>508</v>
      </c>
      <c r="DM12" t="s">
        <v>508</v>
      </c>
      <c r="DN12" t="s">
        <v>508</v>
      </c>
      <c r="DO12" t="s">
        <v>508</v>
      </c>
      <c r="DP12" t="s">
        <v>508</v>
      </c>
      <c r="DQ12" t="s">
        <v>508</v>
      </c>
      <c r="DR12" t="s">
        <v>508</v>
      </c>
      <c r="DS12" t="s">
        <v>508</v>
      </c>
      <c r="DT12" t="s">
        <v>508</v>
      </c>
      <c r="DU12" t="s">
        <v>508</v>
      </c>
      <c r="DV12" t="s">
        <v>508</v>
      </c>
      <c r="DW12" t="s">
        <v>508</v>
      </c>
      <c r="DX12" t="s">
        <v>508</v>
      </c>
      <c r="DY12" t="s">
        <v>508</v>
      </c>
      <c r="DZ12" t="s">
        <v>508</v>
      </c>
      <c r="EA12" t="s">
        <v>508</v>
      </c>
      <c r="EB12" t="s">
        <v>508</v>
      </c>
      <c r="EC12" t="s">
        <v>508</v>
      </c>
      <c r="ED12" t="s">
        <v>508</v>
      </c>
      <c r="EE12" t="s">
        <v>508</v>
      </c>
      <c r="EF12" t="s">
        <v>508</v>
      </c>
      <c r="EG12" t="s">
        <v>508</v>
      </c>
      <c r="EH12" t="s">
        <v>508</v>
      </c>
      <c r="EI12" t="s">
        <v>508</v>
      </c>
      <c r="EJ12" t="s">
        <v>508</v>
      </c>
      <c r="EK12" t="s">
        <v>508</v>
      </c>
      <c r="EL12" t="s">
        <v>508</v>
      </c>
      <c r="EM12" t="s">
        <v>508</v>
      </c>
      <c r="EN12" t="s">
        <v>508</v>
      </c>
      <c r="EO12" t="s">
        <v>508</v>
      </c>
      <c r="EP12" t="s">
        <v>508</v>
      </c>
      <c r="EQ12" t="s">
        <v>508</v>
      </c>
      <c r="ER12" t="s">
        <v>508</v>
      </c>
      <c r="ES12" t="s">
        <v>508</v>
      </c>
      <c r="ET12" t="s">
        <v>508</v>
      </c>
      <c r="EU12" t="s">
        <v>508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D681-7489-4A19-9308-11A6BE1FDE21}">
  <sheetPr codeName="Sheet14"/>
  <dimension ref="A1:L51"/>
  <sheetViews>
    <sheetView topLeftCell="A21" zoomScale="135" zoomScaleNormal="59" workbookViewId="0">
      <selection activeCell="F45" sqref="F45"/>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7" width="11" style="1" bestFit="1" customWidth="1"/>
    <col min="8" max="8" width="24.85546875" style="1" bestFit="1" customWidth="1"/>
    <col min="9" max="9" width="21.5703125" style="1" bestFit="1" customWidth="1"/>
    <col min="10" max="10" width="21" style="1" bestFit="1" customWidth="1"/>
    <col min="11" max="11" width="31.7109375" style="1" bestFit="1" customWidth="1"/>
    <col min="12" max="12" width="18" style="1" bestFit="1" customWidth="1"/>
    <col min="13" max="16384" width="9.140625" style="1"/>
  </cols>
  <sheetData>
    <row r="1" spans="1:11" ht="16.5" customHeight="1" x14ac:dyDescent="0.25">
      <c r="A1" s="65" t="s">
        <v>57</v>
      </c>
      <c r="B1" s="70"/>
      <c r="C1" s="70"/>
      <c r="D1" s="70"/>
      <c r="E1" s="70"/>
      <c r="F1" s="70"/>
    </row>
    <row r="2" spans="1:11" ht="16.5" customHeight="1" x14ac:dyDescent="0.25">
      <c r="A2" s="64" t="s">
        <v>56</v>
      </c>
      <c r="B2" s="70" t="s">
        <v>515</v>
      </c>
      <c r="C2" s="70"/>
      <c r="D2" s="70"/>
      <c r="E2" s="70"/>
      <c r="F2" s="70"/>
    </row>
    <row r="3" spans="1:11" x14ac:dyDescent="0.25">
      <c r="A3" s="64"/>
      <c r="B3" s="4" t="s">
        <v>16</v>
      </c>
      <c r="C3" s="4" t="s">
        <v>54</v>
      </c>
      <c r="D3" s="4" t="s">
        <v>53</v>
      </c>
      <c r="E3" s="4" t="s">
        <v>52</v>
      </c>
      <c r="F3" s="4" t="s">
        <v>51</v>
      </c>
    </row>
    <row r="4" spans="1:11" x14ac:dyDescent="0.25">
      <c r="A4" s="3" t="s">
        <v>50</v>
      </c>
      <c r="B4" s="2">
        <v>0.66399316284267962</v>
      </c>
      <c r="C4" s="2">
        <v>0.92522042015892014</v>
      </c>
      <c r="D4" s="2">
        <v>0.76235757029264695</v>
      </c>
      <c r="E4" s="2">
        <v>0.84013050570962478</v>
      </c>
      <c r="F4" s="2">
        <v>0.53105737316263635</v>
      </c>
      <c r="H4" s="51" t="s">
        <v>49</v>
      </c>
      <c r="I4" s="51"/>
      <c r="J4" s="51"/>
      <c r="K4" s="51"/>
    </row>
    <row r="5" spans="1:11" x14ac:dyDescent="0.25">
      <c r="A5" s="3" t="s">
        <v>48</v>
      </c>
      <c r="B5" s="2">
        <v>1.4052682133366987</v>
      </c>
      <c r="C5" s="2">
        <v>1.5666749655232495</v>
      </c>
      <c r="D5" s="2">
        <v>1.4651059858647866</v>
      </c>
      <c r="E5" s="2">
        <v>1.1318376607007816</v>
      </c>
      <c r="F5" s="2">
        <v>0.99340895242035121</v>
      </c>
    </row>
    <row r="6" spans="1:11" x14ac:dyDescent="0.25">
      <c r="A6" s="3" t="s">
        <v>47</v>
      </c>
      <c r="B6" s="2">
        <v>1.1433322939403388</v>
      </c>
      <c r="C6" s="2">
        <v>1.2447581849765985</v>
      </c>
      <c r="D6" s="2">
        <v>1.1768883292212404</v>
      </c>
      <c r="E6" s="2">
        <v>0.71860070280728072</v>
      </c>
      <c r="F6" s="2">
        <v>0.36064721554357004</v>
      </c>
    </row>
    <row r="7" spans="1:11" x14ac:dyDescent="0.25">
      <c r="A7" s="3" t="s">
        <v>46</v>
      </c>
      <c r="B7" s="2">
        <v>1.3111936930899213</v>
      </c>
      <c r="C7" s="2">
        <v>0.86770043075690939</v>
      </c>
      <c r="D7" s="2">
        <v>1.1640528362766955</v>
      </c>
      <c r="E7" s="2">
        <v>0.28280230618299207</v>
      </c>
      <c r="F7" s="2">
        <v>4.249165426348582E-2</v>
      </c>
    </row>
    <row r="8" spans="1:11" x14ac:dyDescent="0.25">
      <c r="A8" s="3" t="s">
        <v>45</v>
      </c>
      <c r="B8" s="2">
        <v>0.65796918964061646</v>
      </c>
      <c r="C8" s="2">
        <v>0.60228558218454631</v>
      </c>
      <c r="D8" s="2">
        <v>0.63986296187030967</v>
      </c>
      <c r="E8" s="2">
        <v>0.21505006259745318</v>
      </c>
      <c r="F8" s="2">
        <v>0.14212091505057753</v>
      </c>
    </row>
    <row r="9" spans="1:11" x14ac:dyDescent="0.25">
      <c r="A9" s="3" t="s">
        <v>44</v>
      </c>
      <c r="B9" s="2">
        <v>1.7308013704353638</v>
      </c>
      <c r="C9" s="2">
        <v>3.1421431183713273</v>
      </c>
      <c r="D9" s="2">
        <v>2.3047843331680711</v>
      </c>
      <c r="E9" s="2">
        <v>1.9049208468434102</v>
      </c>
      <c r="F9" s="2">
        <v>0.55658627087198509</v>
      </c>
    </row>
    <row r="10" spans="1:11" x14ac:dyDescent="0.25">
      <c r="A10" s="3" t="s">
        <v>41</v>
      </c>
      <c r="B10" s="2">
        <v>1.4595551037076937</v>
      </c>
      <c r="C10" s="2">
        <v>1.4522618116558506</v>
      </c>
      <c r="D10" s="2">
        <v>1.4567897963826826</v>
      </c>
      <c r="E10" s="2">
        <v>0.45997536614620033</v>
      </c>
      <c r="F10" s="2">
        <v>0.2546305578541771</v>
      </c>
    </row>
    <row r="11" spans="1:11" x14ac:dyDescent="0.25">
      <c r="A11" s="3" t="s">
        <v>38</v>
      </c>
      <c r="B11" s="2">
        <v>1.1753183153770812</v>
      </c>
      <c r="C11" s="2">
        <v>1.0916139563354417</v>
      </c>
      <c r="D11" s="2">
        <v>1.148170207133876</v>
      </c>
      <c r="E11" s="2">
        <v>1.4159685669805027</v>
      </c>
      <c r="F11" s="2">
        <v>1.0565071234192414</v>
      </c>
    </row>
    <row r="12" spans="1:11" x14ac:dyDescent="0.25">
      <c r="A12" s="3" t="s">
        <v>37</v>
      </c>
      <c r="B12" s="2">
        <v>0.33691641264238731</v>
      </c>
      <c r="C12" s="2">
        <v>0.56762575846545316</v>
      </c>
      <c r="D12" s="2">
        <v>0.41843898053048378</v>
      </c>
      <c r="E12" s="2">
        <v>0.39726680438582551</v>
      </c>
      <c r="F12" s="2">
        <v>0.11052777010223819</v>
      </c>
    </row>
    <row r="13" spans="1:11" x14ac:dyDescent="0.25">
      <c r="A13" s="3" t="s">
        <v>36</v>
      </c>
      <c r="B13" s="2">
        <v>0.57027264306536374</v>
      </c>
      <c r="C13" s="2">
        <v>0.82974822171329088</v>
      </c>
      <c r="D13" s="2">
        <v>0.66918557491009645</v>
      </c>
      <c r="E13" s="2">
        <v>0.81021314552245738</v>
      </c>
      <c r="F13" s="2">
        <v>0.62730177696198852</v>
      </c>
    </row>
    <row r="14" spans="1:11" x14ac:dyDescent="0.25">
      <c r="A14" s="3" t="s">
        <v>35</v>
      </c>
      <c r="B14" s="2">
        <v>1.3635960205588322</v>
      </c>
      <c r="C14" s="2">
        <v>1.8585880770339462</v>
      </c>
      <c r="D14" s="2">
        <v>1.5468422871313292</v>
      </c>
      <c r="E14" s="2">
        <v>1.1665679204037021</v>
      </c>
      <c r="F14" s="2">
        <v>0.35533653222668915</v>
      </c>
    </row>
    <row r="15" spans="1:11" x14ac:dyDescent="0.25">
      <c r="A15" s="3" t="s">
        <v>34</v>
      </c>
      <c r="B15" s="2">
        <v>1.1417005603780608</v>
      </c>
      <c r="C15" s="2">
        <v>1.4122555376843386</v>
      </c>
      <c r="D15" s="2">
        <v>1.2452508200447376</v>
      </c>
      <c r="E15" s="2">
        <v>0.73047745474626824</v>
      </c>
      <c r="F15" s="2">
        <v>0.53717795267496826</v>
      </c>
    </row>
    <row r="16" spans="1:11" x14ac:dyDescent="0.25">
      <c r="A16" s="3" t="s">
        <v>33</v>
      </c>
      <c r="B16" s="2">
        <v>0.60803479687380813</v>
      </c>
      <c r="C16" s="2">
        <v>0.71195878082496344</v>
      </c>
      <c r="D16" s="2">
        <v>0.64611522493599449</v>
      </c>
      <c r="E16" s="2">
        <v>0.5209469496296758</v>
      </c>
      <c r="F16" s="2">
        <v>0.25739567765046378</v>
      </c>
    </row>
    <row r="17" spans="1:6" ht="16.899999999999999" customHeight="1" x14ac:dyDescent="0.25">
      <c r="A17" s="3" t="s">
        <v>32</v>
      </c>
      <c r="B17" s="2">
        <v>0.89204725103277405</v>
      </c>
      <c r="C17" s="2">
        <v>0.96171676856318766</v>
      </c>
      <c r="D17" s="2">
        <v>0.91832562143548901</v>
      </c>
      <c r="E17" s="2">
        <v>0.794788378535077</v>
      </c>
      <c r="F17" s="2">
        <v>0.42024492399476571</v>
      </c>
    </row>
    <row r="18" spans="1:6" ht="16.899999999999999" customHeight="1" x14ac:dyDescent="0.25">
      <c r="A18" s="3" t="s">
        <v>32</v>
      </c>
      <c r="B18" s="2">
        <v>1.8463122858333489</v>
      </c>
      <c r="C18" s="2">
        <v>1.7552891774775619</v>
      </c>
      <c r="D18" s="2">
        <v>1.8148752001807056</v>
      </c>
      <c r="E18" s="2">
        <v>1.1902089823817945</v>
      </c>
      <c r="F18" s="2">
        <v>0.51785883318082859</v>
      </c>
    </row>
    <row r="19" spans="1:6" ht="16.899999999999999" customHeight="1" x14ac:dyDescent="0.25">
      <c r="A19" s="3" t="s">
        <v>30</v>
      </c>
      <c r="B19" s="2">
        <v>1.1730014569571854</v>
      </c>
      <c r="C19" s="2">
        <v>1.0458741278178099</v>
      </c>
      <c r="D19" s="2">
        <v>1.1309414823870778</v>
      </c>
      <c r="E19" s="2">
        <v>0.29244981643785645</v>
      </c>
      <c r="F19" s="2">
        <v>0.10226965251248561</v>
      </c>
    </row>
    <row r="20" spans="1:6" ht="16.899999999999999" customHeight="1" x14ac:dyDescent="0.25">
      <c r="A20" s="3" t="s">
        <v>29</v>
      </c>
      <c r="B20" s="2">
        <v>0.93506104217627661</v>
      </c>
      <c r="C20" s="2">
        <v>1.2639894267198304</v>
      </c>
      <c r="D20" s="2">
        <v>1.0514594397620192</v>
      </c>
      <c r="E20" s="2">
        <v>0.76116112020367332</v>
      </c>
      <c r="F20" s="2">
        <v>8.9556159672662288E-4</v>
      </c>
    </row>
    <row r="21" spans="1:6" ht="16.899999999999999" customHeight="1" x14ac:dyDescent="0.25">
      <c r="A21" s="3" t="s">
        <v>28</v>
      </c>
      <c r="B21" s="2">
        <v>2.5719731713609733</v>
      </c>
      <c r="C21" s="2">
        <v>3.8852508553288541</v>
      </c>
      <c r="D21" s="2">
        <v>3.0695778218402352</v>
      </c>
      <c r="E21" s="2">
        <v>1.5608775910471868</v>
      </c>
      <c r="F21" s="2">
        <v>1.0710470540426764</v>
      </c>
    </row>
    <row r="22" spans="1:6" ht="16.899999999999999" customHeight="1" x14ac:dyDescent="0.25">
      <c r="A22" s="3" t="s">
        <v>27</v>
      </c>
      <c r="B22" s="2">
        <v>2.2822543083372149</v>
      </c>
      <c r="C22" s="2">
        <v>2.2872519340733266</v>
      </c>
      <c r="D22" s="2">
        <v>2.2842988853722308</v>
      </c>
      <c r="E22" s="2">
        <v>1.4758497316636852</v>
      </c>
      <c r="F22" s="2">
        <v>0.73092736409319325</v>
      </c>
    </row>
    <row r="23" spans="1:6" ht="16.899999999999999" customHeight="1" x14ac:dyDescent="0.25">
      <c r="A23" s="3" t="s">
        <v>26</v>
      </c>
      <c r="B23" s="2">
        <v>0.80885210056815748</v>
      </c>
      <c r="C23" s="2">
        <v>0.95843005356424837</v>
      </c>
      <c r="D23" s="2">
        <v>0.86280762551233359</v>
      </c>
      <c r="E23" s="2">
        <v>0.38228751305145292</v>
      </c>
      <c r="F23" s="2">
        <v>0.25312968286269044</v>
      </c>
    </row>
    <row r="24" spans="1:6" ht="16.899999999999999" customHeight="1" x14ac:dyDescent="0.25">
      <c r="A24" s="3" t="s">
        <v>25</v>
      </c>
      <c r="B24" s="2">
        <v>1.9206984452406644</v>
      </c>
      <c r="C24" s="2">
        <v>1.8334398724988088</v>
      </c>
      <c r="D24" s="2">
        <v>1.888348287250708</v>
      </c>
      <c r="E24" s="2">
        <v>1.4121940208734221</v>
      </c>
      <c r="F24" s="2">
        <v>0.45787475739835065</v>
      </c>
    </row>
    <row r="25" spans="1:6" x14ac:dyDescent="0.25">
      <c r="A25" s="3" t="s">
        <v>24</v>
      </c>
      <c r="B25" s="2">
        <v>0.99424993650142768</v>
      </c>
      <c r="C25" s="2">
        <v>0.69381240684315348</v>
      </c>
      <c r="D25" s="2">
        <v>0.89902906533167515</v>
      </c>
      <c r="E25" s="2">
        <v>0.69537088414814119</v>
      </c>
      <c r="F25" s="2">
        <v>0.25186537795548281</v>
      </c>
    </row>
    <row r="26" spans="1:6" x14ac:dyDescent="0.25">
      <c r="A26" s="3" t="s">
        <v>17</v>
      </c>
      <c r="B26" s="2">
        <v>0.63474977059363313</v>
      </c>
      <c r="C26" s="2">
        <v>0.40333010376982131</v>
      </c>
      <c r="D26" s="2">
        <v>0.56833266019192707</v>
      </c>
      <c r="E26" s="2">
        <v>0.2224832182722698</v>
      </c>
      <c r="F26" s="2">
        <v>0.11874531869416688</v>
      </c>
    </row>
    <row r="27" spans="1:6" x14ac:dyDescent="0.25">
      <c r="A27" s="3" t="s">
        <v>14</v>
      </c>
      <c r="B27" s="2">
        <v>1.3913424337542886</v>
      </c>
      <c r="C27" s="2">
        <v>2.3240117197686727</v>
      </c>
      <c r="D27" s="2">
        <v>1.6920649523442097</v>
      </c>
      <c r="E27" s="2">
        <v>2.9539925682358916</v>
      </c>
      <c r="F27" s="2">
        <v>1.555138819009285</v>
      </c>
    </row>
    <row r="28" spans="1:6" x14ac:dyDescent="0.25">
      <c r="A28" s="3" t="s">
        <v>13</v>
      </c>
      <c r="B28" s="2">
        <v>0.4357897216442228</v>
      </c>
      <c r="C28" s="2">
        <v>0.54513737461840384</v>
      </c>
      <c r="D28" s="2">
        <v>0.47200157552681676</v>
      </c>
      <c r="E28" s="2">
        <v>0.34917656868876384</v>
      </c>
      <c r="F28" s="2">
        <v>4.5729217703739999E-2</v>
      </c>
    </row>
    <row r="29" spans="1:6" x14ac:dyDescent="0.25">
      <c r="A29" s="3" t="s">
        <v>12</v>
      </c>
      <c r="B29" s="2">
        <v>1.5256218828297998</v>
      </c>
      <c r="C29" s="2">
        <v>2.0429038422144408</v>
      </c>
      <c r="D29" s="2">
        <v>1.7162938419888596</v>
      </c>
      <c r="E29" s="2">
        <v>1.104182821401793</v>
      </c>
      <c r="F29" s="2">
        <v>0.41633654906712653</v>
      </c>
    </row>
    <row r="30" spans="1:6" x14ac:dyDescent="0.25">
      <c r="A30" s="3" t="s">
        <v>11</v>
      </c>
      <c r="B30" s="2">
        <v>0.61650010178067716</v>
      </c>
      <c r="C30" s="2">
        <v>0.9542999919400339</v>
      </c>
      <c r="D30" s="2">
        <v>0.74335040375791472</v>
      </c>
      <c r="E30" s="2">
        <v>1.1234367271956476</v>
      </c>
      <c r="F30" s="2">
        <v>1.0401049475262369</v>
      </c>
    </row>
    <row r="31" spans="1:6" x14ac:dyDescent="0.25">
      <c r="A31" s="3" t="s">
        <v>10</v>
      </c>
      <c r="B31" s="2">
        <v>1.6509240942985386</v>
      </c>
      <c r="C31" s="2">
        <v>1.6946776837151054</v>
      </c>
      <c r="D31" s="2">
        <v>1.6673663325034398</v>
      </c>
      <c r="E31" s="2">
        <v>0.96102783917429413</v>
      </c>
      <c r="F31" s="2">
        <v>0.65769699969943951</v>
      </c>
    </row>
    <row r="32" spans="1:6" x14ac:dyDescent="0.25">
      <c r="A32" s="3" t="s">
        <v>9</v>
      </c>
      <c r="B32" s="2">
        <v>0.74262056932514675</v>
      </c>
      <c r="C32" s="2">
        <v>0.86776614586620282</v>
      </c>
      <c r="D32" s="2">
        <v>0.7851434343190562</v>
      </c>
      <c r="E32" s="2">
        <v>0.42362670011884324</v>
      </c>
      <c r="F32" s="2">
        <v>0.28087654680834151</v>
      </c>
    </row>
    <row r="33" spans="1:12" x14ac:dyDescent="0.25">
      <c r="A33" s="3" t="s">
        <v>8</v>
      </c>
      <c r="B33" s="2">
        <v>1.0726502082093992</v>
      </c>
      <c r="C33" s="2">
        <v>0.87685758711223261</v>
      </c>
      <c r="D33" s="2">
        <v>0.9900777227137374</v>
      </c>
      <c r="E33" s="2">
        <v>0.81087433406455656</v>
      </c>
      <c r="F33" s="2">
        <v>0.36832412523020258</v>
      </c>
    </row>
    <row r="34" spans="1:12" x14ac:dyDescent="0.25">
      <c r="A34" s="3" t="s">
        <v>7</v>
      </c>
      <c r="B34" s="2">
        <v>1.450914017164757</v>
      </c>
      <c r="C34" s="2">
        <v>1.9942038017083366</v>
      </c>
      <c r="D34" s="2">
        <v>1.6515985187219178</v>
      </c>
      <c r="E34" s="2">
        <v>0.61480032358935266</v>
      </c>
      <c r="F34" s="2">
        <v>0.29663795170386431</v>
      </c>
      <c r="H34" t="s">
        <v>514</v>
      </c>
      <c r="I34" t="s">
        <v>513</v>
      </c>
      <c r="J34" t="s">
        <v>512</v>
      </c>
      <c r="K34" t="s">
        <v>511</v>
      </c>
      <c r="L34" t="s">
        <v>510</v>
      </c>
    </row>
    <row r="35" spans="1:12" x14ac:dyDescent="0.25">
      <c r="A35" s="3" t="s">
        <v>6</v>
      </c>
      <c r="B35" s="2">
        <v>1.0100104412144035</v>
      </c>
      <c r="C35" s="2">
        <v>0.88850229432915084</v>
      </c>
      <c r="D35" s="2">
        <v>0.96671819374180257</v>
      </c>
      <c r="E35" s="2">
        <v>0.82163743244704368</v>
      </c>
      <c r="F35" s="2">
        <v>4.186141849581819E-2</v>
      </c>
      <c r="H35">
        <v>37</v>
      </c>
      <c r="I35">
        <v>37</v>
      </c>
      <c r="J35">
        <v>37</v>
      </c>
      <c r="K35" s="34">
        <v>0.4216135755564604</v>
      </c>
      <c r="L35">
        <v>37</v>
      </c>
    </row>
    <row r="36" spans="1:12" x14ac:dyDescent="0.25">
      <c r="A36" s="3" t="s">
        <v>5</v>
      </c>
      <c r="B36" s="2">
        <v>0.55976321313452759</v>
      </c>
      <c r="C36" s="2">
        <v>0.61742442982239154</v>
      </c>
      <c r="D36" s="2">
        <v>0.58119966231563924</v>
      </c>
      <c r="E36" s="2">
        <v>0.44194832724513661</v>
      </c>
      <c r="F36" s="2">
        <v>0.28458281188390394</v>
      </c>
      <c r="H36"/>
      <c r="I36"/>
      <c r="J36"/>
    </row>
    <row r="37" spans="1:12" x14ac:dyDescent="0.25">
      <c r="A37" s="3" t="s">
        <v>4</v>
      </c>
      <c r="B37" s="2">
        <v>0.62864566983795445</v>
      </c>
      <c r="C37" s="2">
        <v>0.45269188485959561</v>
      </c>
      <c r="D37" s="2">
        <v>0.57408355393264177</v>
      </c>
      <c r="E37" s="2">
        <v>8.5433065361322322E-2</v>
      </c>
      <c r="F37" s="2">
        <v>6.6828718616746413E-2</v>
      </c>
      <c r="H37"/>
      <c r="I37"/>
      <c r="J37"/>
    </row>
    <row r="38" spans="1:12" x14ac:dyDescent="0.25">
      <c r="A38" s="3" t="s">
        <v>3</v>
      </c>
      <c r="B38" s="2">
        <v>0.39159568975443781</v>
      </c>
      <c r="C38" s="2">
        <v>0.34526291946196946</v>
      </c>
      <c r="D38" s="2">
        <v>0.37501013540906508</v>
      </c>
      <c r="E38" s="2">
        <v>0.22374897292262727</v>
      </c>
      <c r="F38" s="2">
        <v>0.13607080890515083</v>
      </c>
      <c r="H38"/>
      <c r="I38"/>
      <c r="J38"/>
    </row>
    <row r="39" spans="1:12" x14ac:dyDescent="0.25">
      <c r="A39" s="3" t="s">
        <v>2</v>
      </c>
      <c r="B39" s="2">
        <v>1.105681328212182</v>
      </c>
      <c r="C39" s="2">
        <v>0.92262346149062902</v>
      </c>
      <c r="D39" s="2">
        <v>1.0378240323967682</v>
      </c>
      <c r="E39" s="2">
        <v>0.69841438501471209</v>
      </c>
      <c r="F39" s="2">
        <v>0.34591867592066738</v>
      </c>
      <c r="H39"/>
      <c r="I39"/>
      <c r="J39"/>
    </row>
    <row r="40" spans="1:12" x14ac:dyDescent="0.25">
      <c r="A40" s="3" t="s">
        <v>1</v>
      </c>
      <c r="B40" s="2">
        <v>1.0470807513478242</v>
      </c>
      <c r="C40" s="2">
        <v>1.1414566637372259</v>
      </c>
      <c r="D40" s="2">
        <v>1.0799660310349526</v>
      </c>
      <c r="E40" s="2">
        <v>0.62173434382995474</v>
      </c>
      <c r="F40" s="2">
        <v>0.31354640648477516</v>
      </c>
      <c r="H40"/>
      <c r="I40"/>
      <c r="J40"/>
    </row>
    <row r="41" spans="1:12" ht="33" customHeight="1" x14ac:dyDescent="0.25">
      <c r="A41" s="67" t="s">
        <v>0</v>
      </c>
      <c r="B41" s="68"/>
      <c r="C41" s="68"/>
      <c r="D41" s="68"/>
      <c r="E41" s="68"/>
      <c r="F41" s="69"/>
      <c r="H41"/>
      <c r="I41"/>
      <c r="J41"/>
    </row>
    <row r="42" spans="1:12" x14ac:dyDescent="0.25">
      <c r="H42"/>
      <c r="I42"/>
      <c r="J42"/>
    </row>
    <row r="43" spans="1:12" x14ac:dyDescent="0.25">
      <c r="H43"/>
      <c r="I43"/>
      <c r="J43"/>
    </row>
    <row r="44" spans="1:12" x14ac:dyDescent="0.25">
      <c r="H44"/>
      <c r="I44"/>
      <c r="J44"/>
    </row>
    <row r="45" spans="1:12" x14ac:dyDescent="0.25">
      <c r="A45" s="1" t="s">
        <v>198</v>
      </c>
      <c r="B45" s="1" t="s">
        <v>91</v>
      </c>
      <c r="C45" s="1" t="s">
        <v>139</v>
      </c>
      <c r="D45" s="1" t="s">
        <v>509</v>
      </c>
      <c r="E45" s="1" t="s">
        <v>140</v>
      </c>
      <c r="H45"/>
      <c r="I45"/>
      <c r="J45"/>
    </row>
    <row r="46" spans="1:12" x14ac:dyDescent="0.25">
      <c r="H46"/>
      <c r="I46"/>
      <c r="J46"/>
    </row>
    <row r="47" spans="1:12" x14ac:dyDescent="0.25">
      <c r="H47"/>
      <c r="I47"/>
      <c r="J47"/>
    </row>
    <row r="48" spans="1:12" x14ac:dyDescent="0.25">
      <c r="H48"/>
      <c r="I48"/>
      <c r="J48"/>
    </row>
    <row r="49" spans="8:10" x14ac:dyDescent="0.25">
      <c r="H49"/>
      <c r="I49"/>
      <c r="J49"/>
    </row>
    <row r="50" spans="8:10" x14ac:dyDescent="0.25">
      <c r="H50"/>
      <c r="I50"/>
      <c r="J50"/>
    </row>
    <row r="51" spans="8:10" x14ac:dyDescent="0.25">
      <c r="H51"/>
      <c r="I51"/>
      <c r="J51"/>
    </row>
  </sheetData>
  <mergeCells count="5">
    <mergeCell ref="A41:F41"/>
    <mergeCell ref="A1:F1"/>
    <mergeCell ref="A2:A3"/>
    <mergeCell ref="B2:F2"/>
    <mergeCell ref="H4:K4"/>
  </mergeCells>
  <conditionalFormatting pivot="1" sqref="J35">
    <cfRule type="cellIs" dxfId="21" priority="6" operator="greaterThan">
      <formula>37</formula>
    </cfRule>
  </conditionalFormatting>
  <conditionalFormatting sqref="E39">
    <cfRule type="cellIs" dxfId="20" priority="3" operator="lessThan">
      <formula>0.7</formula>
    </cfRule>
    <cfRule type="cellIs" dxfId="19" priority="4" operator="greaterThan">
      <formula>0.2</formula>
    </cfRule>
    <cfRule type="cellIs" dxfId="18" priority="5" operator="greaterThan">
      <formula>0.7</formula>
    </cfRule>
  </conditionalFormatting>
  <conditionalFormatting sqref="A4:F40">
    <cfRule type="cellIs" dxfId="17" priority="1" operator="lessThan">
      <formula>0.28</formula>
    </cfRule>
    <cfRule type="cellIs" dxfId="16" priority="2" operator="greaterThan">
      <formula>1.5</formula>
    </cfRule>
  </conditionalFormatting>
  <hyperlinks>
    <hyperlink ref="H4:K4" location="'SDG 4 - Index'!A1" display="Return to Index Page" xr:uid="{43281445-E03F-44B2-87AD-C12EFA1C2B71}"/>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16F4-1E2E-4C3F-BD0C-5964BF5DCBBF}">
  <sheetPr codeName="Sheet9"/>
  <dimension ref="A1:T41"/>
  <sheetViews>
    <sheetView workbookViewId="0">
      <selection activeCell="A23" sqref="A23"/>
    </sheetView>
  </sheetViews>
  <sheetFormatPr defaultColWidth="9.140625" defaultRowHeight="16.5" x14ac:dyDescent="0.25"/>
  <cols>
    <col min="1" max="1" width="30.42578125" style="1" bestFit="1" customWidth="1"/>
    <col min="2" max="2" width="11.140625" style="1" customWidth="1"/>
    <col min="3" max="3" width="16.28515625" style="1" customWidth="1"/>
    <col min="4" max="4" width="14.140625" style="1" customWidth="1"/>
    <col min="5" max="5" width="11.85546875" style="1" customWidth="1"/>
    <col min="6" max="6" width="19.140625" style="1" customWidth="1"/>
    <col min="7" max="7" width="9.140625" style="1"/>
    <col min="8" max="8" width="14.28515625" style="1" bestFit="1" customWidth="1"/>
    <col min="9" max="9" width="9.140625" style="1"/>
    <col min="10" max="10" width="10.42578125" style="1" bestFit="1" customWidth="1"/>
    <col min="11" max="14" width="9.140625" style="1"/>
    <col min="15" max="16" width="12.85546875" style="1" customWidth="1"/>
    <col min="17" max="16384" width="9.140625" style="1"/>
  </cols>
  <sheetData>
    <row r="1" spans="1:11" ht="16.5" customHeight="1" x14ac:dyDescent="0.25">
      <c r="A1" s="71" t="s">
        <v>57</v>
      </c>
      <c r="B1" s="72"/>
      <c r="C1" s="72"/>
      <c r="D1" s="72"/>
      <c r="E1" s="72"/>
      <c r="F1" s="73"/>
    </row>
    <row r="2" spans="1:11" ht="16.5" customHeight="1" x14ac:dyDescent="0.25">
      <c r="A2" s="74" t="s">
        <v>56</v>
      </c>
      <c r="B2" s="76" t="s">
        <v>55</v>
      </c>
      <c r="C2" s="77"/>
      <c r="D2" s="77"/>
      <c r="E2" s="77"/>
      <c r="F2" s="78"/>
    </row>
    <row r="3" spans="1:11" x14ac:dyDescent="0.25">
      <c r="A3" s="75"/>
      <c r="B3" s="4" t="s">
        <v>16</v>
      </c>
      <c r="C3" s="4" t="s">
        <v>54</v>
      </c>
      <c r="D3" s="4" t="s">
        <v>53</v>
      </c>
      <c r="E3" s="4" t="s">
        <v>52</v>
      </c>
      <c r="F3" s="4" t="s">
        <v>51</v>
      </c>
    </row>
    <row r="4" spans="1:11" ht="16.899999999999999" customHeight="1" x14ac:dyDescent="0.25">
      <c r="A4" s="3" t="s">
        <v>50</v>
      </c>
      <c r="B4" s="2">
        <v>0.98</v>
      </c>
      <c r="C4" s="2">
        <v>0.87</v>
      </c>
      <c r="D4" s="2">
        <v>0.94</v>
      </c>
      <c r="E4" s="2">
        <v>0.87</v>
      </c>
      <c r="F4" s="2">
        <v>0.67</v>
      </c>
      <c r="H4" s="51" t="s">
        <v>49</v>
      </c>
      <c r="I4" s="51"/>
      <c r="J4" s="51"/>
      <c r="K4" s="51"/>
    </row>
    <row r="5" spans="1:11" ht="16.899999999999999" customHeight="1" x14ac:dyDescent="0.25">
      <c r="A5" s="3" t="s">
        <v>48</v>
      </c>
      <c r="B5" s="2">
        <v>1.55</v>
      </c>
      <c r="C5" s="2">
        <v>1.26</v>
      </c>
      <c r="D5" s="2">
        <v>1.44</v>
      </c>
      <c r="E5" s="2">
        <v>1.07</v>
      </c>
      <c r="F5" s="2">
        <v>0</v>
      </c>
    </row>
    <row r="6" spans="1:11" ht="16.899999999999999" customHeight="1" x14ac:dyDescent="0.25">
      <c r="A6" s="3" t="s">
        <v>47</v>
      </c>
      <c r="B6" s="2">
        <v>1.46</v>
      </c>
      <c r="C6" s="2">
        <v>1.79</v>
      </c>
      <c r="D6" s="2">
        <v>1.56</v>
      </c>
      <c r="E6" s="2">
        <v>0.84</v>
      </c>
      <c r="F6" s="2">
        <v>0.95</v>
      </c>
    </row>
    <row r="7" spans="1:11" ht="16.899999999999999" customHeight="1" x14ac:dyDescent="0.25">
      <c r="A7" s="3" t="s">
        <v>46</v>
      </c>
      <c r="B7" s="2">
        <v>1.55</v>
      </c>
      <c r="C7" s="2">
        <v>1.03</v>
      </c>
      <c r="D7" s="2">
        <v>1.38</v>
      </c>
      <c r="E7" s="2">
        <v>0.39</v>
      </c>
      <c r="F7" s="2">
        <v>0.08</v>
      </c>
    </row>
    <row r="8" spans="1:11" ht="16.899999999999999" customHeight="1" x14ac:dyDescent="0.25">
      <c r="A8" s="3" t="s">
        <v>45</v>
      </c>
      <c r="B8" s="2">
        <v>0.91</v>
      </c>
      <c r="C8" s="2">
        <v>0.69</v>
      </c>
      <c r="D8" s="2">
        <v>0.85</v>
      </c>
      <c r="E8" s="2">
        <v>0.26</v>
      </c>
      <c r="F8" s="2">
        <v>0.09</v>
      </c>
    </row>
    <row r="9" spans="1:11" ht="16.899999999999999" customHeight="1" x14ac:dyDescent="0.25">
      <c r="A9" s="3" t="s">
        <v>44</v>
      </c>
      <c r="B9" s="2">
        <v>1.85</v>
      </c>
      <c r="C9" s="2">
        <v>3.37</v>
      </c>
      <c r="D9" s="2">
        <v>2.48</v>
      </c>
      <c r="E9" s="2">
        <v>2.66</v>
      </c>
      <c r="F9" s="2">
        <v>0.76</v>
      </c>
      <c r="H9" s="1" t="s">
        <v>43</v>
      </c>
      <c r="I9" s="1" t="s">
        <v>42</v>
      </c>
      <c r="J9" s="1">
        <v>19</v>
      </c>
    </row>
    <row r="10" spans="1:11" ht="16.899999999999999" customHeight="1" x14ac:dyDescent="0.25">
      <c r="A10" s="3" t="s">
        <v>41</v>
      </c>
      <c r="B10" s="2">
        <v>1.68</v>
      </c>
      <c r="C10" s="2">
        <v>1.52</v>
      </c>
      <c r="D10" s="2">
        <v>1.62</v>
      </c>
      <c r="E10" s="2">
        <v>0.41</v>
      </c>
      <c r="F10" s="2">
        <v>0.26</v>
      </c>
      <c r="H10" s="1" t="s">
        <v>40</v>
      </c>
      <c r="I10" s="1" t="s">
        <v>39</v>
      </c>
      <c r="J10" s="1">
        <v>20</v>
      </c>
    </row>
    <row r="11" spans="1:11" ht="16.899999999999999" customHeight="1" x14ac:dyDescent="0.25">
      <c r="A11" s="3" t="s">
        <v>38</v>
      </c>
      <c r="B11" s="2">
        <v>0.77</v>
      </c>
      <c r="C11" s="2">
        <v>0.5</v>
      </c>
      <c r="D11" s="2">
        <v>0.66</v>
      </c>
      <c r="E11" s="2">
        <v>0.77</v>
      </c>
      <c r="F11" s="2">
        <v>0.35</v>
      </c>
    </row>
    <row r="12" spans="1:11" ht="16.899999999999999" customHeight="1" x14ac:dyDescent="0.25">
      <c r="A12" s="3" t="s">
        <v>37</v>
      </c>
      <c r="B12" s="2">
        <v>0.57999999999999996</v>
      </c>
      <c r="C12" s="2">
        <v>0.52</v>
      </c>
      <c r="D12" s="2">
        <v>0.56000000000000005</v>
      </c>
      <c r="E12" s="2">
        <v>0.41</v>
      </c>
      <c r="F12" s="2">
        <v>0.14000000000000001</v>
      </c>
    </row>
    <row r="13" spans="1:11" ht="16.899999999999999" customHeight="1" x14ac:dyDescent="0.25">
      <c r="A13" s="3" t="s">
        <v>36</v>
      </c>
      <c r="B13" s="2">
        <v>0.53</v>
      </c>
      <c r="C13" s="2">
        <v>0.91</v>
      </c>
      <c r="D13" s="2">
        <v>0.67</v>
      </c>
      <c r="E13" s="2">
        <v>0.91</v>
      </c>
      <c r="F13" s="2">
        <v>0.72</v>
      </c>
      <c r="H13" s="1" t="e">
        <f>VLOOKUP(A16,,B13,"False")</f>
        <v>#N/A</v>
      </c>
    </row>
    <row r="14" spans="1:11" ht="16.899999999999999" customHeight="1" x14ac:dyDescent="0.25">
      <c r="A14" s="3" t="s">
        <v>35</v>
      </c>
      <c r="B14" s="2">
        <v>1.94</v>
      </c>
      <c r="C14" s="2">
        <v>2.4500000000000002</v>
      </c>
      <c r="D14" s="2">
        <v>2.13</v>
      </c>
      <c r="E14" s="2">
        <v>1.03</v>
      </c>
      <c r="F14" s="2">
        <v>0.28000000000000003</v>
      </c>
      <c r="H14" s="1" t="e">
        <f>VLOOKUP("0.98",B15:B19,2,TRUE)</f>
        <v>#N/A</v>
      </c>
    </row>
    <row r="15" spans="1:11" ht="16.899999999999999" customHeight="1" x14ac:dyDescent="0.25">
      <c r="A15" s="3" t="s">
        <v>34</v>
      </c>
      <c r="B15" s="2">
        <v>0.98</v>
      </c>
      <c r="C15" s="2">
        <v>1.0900000000000001</v>
      </c>
      <c r="D15" s="2">
        <v>1.02</v>
      </c>
      <c r="E15" s="2">
        <v>0.59</v>
      </c>
      <c r="F15" s="2">
        <v>0.48</v>
      </c>
      <c r="J15" s="1" t="e">
        <v>#NAME?</v>
      </c>
    </row>
    <row r="16" spans="1:11" ht="16.899999999999999" customHeight="1" x14ac:dyDescent="0.25">
      <c r="A16" s="3" t="s">
        <v>33</v>
      </c>
      <c r="B16" s="2">
        <v>0.77</v>
      </c>
      <c r="C16" s="2">
        <v>0.83</v>
      </c>
      <c r="D16" s="2">
        <v>0.79</v>
      </c>
      <c r="E16" s="2">
        <v>0.5</v>
      </c>
      <c r="F16" s="2">
        <v>0.3</v>
      </c>
    </row>
    <row r="17" spans="1:20" ht="16.899999999999999" customHeight="1" x14ac:dyDescent="0.25">
      <c r="A17" s="3" t="s">
        <v>32</v>
      </c>
      <c r="B17" s="2">
        <v>1</v>
      </c>
      <c r="C17" s="2">
        <v>1.1100000000000001</v>
      </c>
      <c r="D17" s="2">
        <v>1.04</v>
      </c>
      <c r="E17" s="2">
        <v>0.85</v>
      </c>
      <c r="F17" s="2">
        <v>0.39</v>
      </c>
    </row>
    <row r="18" spans="1:20" ht="16.899999999999999" customHeight="1" x14ac:dyDescent="0.25">
      <c r="A18" s="3" t="s">
        <v>31</v>
      </c>
      <c r="B18" s="2">
        <v>1.39</v>
      </c>
      <c r="C18" s="2">
        <v>1.27</v>
      </c>
      <c r="D18" s="2">
        <v>1.35</v>
      </c>
      <c r="E18" s="2">
        <v>0.68</v>
      </c>
      <c r="F18" s="2">
        <v>0.35</v>
      </c>
      <c r="J18" s="1" t="e">
        <f>J19</f>
        <v>#REF!</v>
      </c>
    </row>
    <row r="19" spans="1:20" ht="16.899999999999999" customHeight="1" x14ac:dyDescent="0.25">
      <c r="A19" s="3" t="s">
        <v>30</v>
      </c>
      <c r="B19" s="2">
        <v>1.17</v>
      </c>
      <c r="C19" s="2">
        <v>0.93</v>
      </c>
      <c r="D19" s="2">
        <v>1.0900000000000001</v>
      </c>
      <c r="E19" s="2">
        <v>0.27</v>
      </c>
      <c r="F19" s="2">
        <v>0.13</v>
      </c>
      <c r="H19" s="1" t="str">
        <f>CLEAN(A18)</f>
        <v>Jammu and Kashmir</v>
      </c>
      <c r="J19" s="1" t="e">
        <f>VLOOKUP("Haryana",A14:A23,2,1)</f>
        <v>#REF!</v>
      </c>
    </row>
    <row r="20" spans="1:20" ht="16.899999999999999" customHeight="1" x14ac:dyDescent="0.25">
      <c r="A20" s="3" t="s">
        <v>29</v>
      </c>
      <c r="B20" s="2">
        <v>1.24</v>
      </c>
      <c r="C20" s="2">
        <v>1.31</v>
      </c>
      <c r="D20" s="2">
        <v>1.26</v>
      </c>
      <c r="E20" s="2">
        <v>0.81</v>
      </c>
      <c r="F20" s="2">
        <v>0.11</v>
      </c>
    </row>
    <row r="21" spans="1:20" x14ac:dyDescent="0.25">
      <c r="A21" s="3" t="s">
        <v>28</v>
      </c>
      <c r="B21" s="2">
        <v>2.42</v>
      </c>
      <c r="C21" s="2">
        <v>3.6</v>
      </c>
      <c r="D21" s="2">
        <v>2.87</v>
      </c>
      <c r="E21" s="2">
        <v>1.69</v>
      </c>
      <c r="F21" s="2">
        <v>0.88</v>
      </c>
      <c r="H21" s="1" t="str">
        <f>SUBSTITUTE(A19,"jharkhand","Jammu and Kashmir")</f>
        <v>Jharkhand</v>
      </c>
      <c r="J21" s="1" t="e">
        <f>VLOOKUP(1.24,B20:B25,2,2)</f>
        <v>#REF!</v>
      </c>
    </row>
    <row r="22" spans="1:20" x14ac:dyDescent="0.25">
      <c r="A22" s="3" t="s">
        <v>27</v>
      </c>
      <c r="B22" s="2">
        <v>3.33</v>
      </c>
      <c r="C22" s="2">
        <v>2.97</v>
      </c>
      <c r="D22" s="2">
        <v>3.18</v>
      </c>
      <c r="E22" s="2">
        <v>1.27</v>
      </c>
      <c r="F22" s="2">
        <v>0.71</v>
      </c>
      <c r="H22" s="1" t="str">
        <f>SUBSTITUTE(A17,"J","F")</f>
        <v>Himachal Pradesh</v>
      </c>
      <c r="J22" s="1" t="e">
        <f>VLOOKUP(0.98,$B$4:$B$13,2,2)</f>
        <v>#REF!</v>
      </c>
    </row>
    <row r="23" spans="1:20" x14ac:dyDescent="0.25">
      <c r="A23" s="3" t="s">
        <v>26</v>
      </c>
      <c r="B23" s="2">
        <v>1.03</v>
      </c>
      <c r="C23" s="2">
        <v>1.1200000000000001</v>
      </c>
      <c r="D23" s="2">
        <v>1.06</v>
      </c>
      <c r="E23" s="2">
        <v>0.41</v>
      </c>
      <c r="F23" s="2">
        <v>0.3</v>
      </c>
      <c r="H23" s="1" t="str">
        <f>SUBSTITUTE(A17,"Himachal Pradesh","Jammu and kashmir")</f>
        <v>Jammu and kashmir</v>
      </c>
      <c r="J23" s="1" t="e">
        <f>HLOOKUP(3.6,B21:C22,3,TRUE)</f>
        <v>#REF!</v>
      </c>
    </row>
    <row r="24" spans="1:20" x14ac:dyDescent="0.25">
      <c r="A24" s="3" t="s">
        <v>25</v>
      </c>
      <c r="B24" s="2">
        <v>1.7</v>
      </c>
      <c r="C24" s="2">
        <v>1.66</v>
      </c>
      <c r="D24" s="2">
        <v>1.68</v>
      </c>
      <c r="E24" s="2">
        <v>1.17</v>
      </c>
      <c r="F24" s="2">
        <v>0.35</v>
      </c>
      <c r="H24" s="1" t="str">
        <f>LEFT(A19,4)</f>
        <v>Jhar</v>
      </c>
    </row>
    <row r="25" spans="1:20" x14ac:dyDescent="0.25">
      <c r="A25" s="3" t="s">
        <v>24</v>
      </c>
      <c r="B25" s="2">
        <v>1.84</v>
      </c>
      <c r="C25" s="2">
        <v>1.27</v>
      </c>
      <c r="D25" s="2">
        <v>1.66</v>
      </c>
      <c r="E25" s="2">
        <v>0.52</v>
      </c>
      <c r="F25" s="2">
        <v>0.09</v>
      </c>
      <c r="H25" s="1" t="str">
        <f>RIGHT(A19,7)</f>
        <v>arkhand</v>
      </c>
      <c r="O25" s="1" t="s">
        <v>23</v>
      </c>
      <c r="P25" s="1" t="s">
        <v>22</v>
      </c>
      <c r="Q25" s="1" t="s">
        <v>21</v>
      </c>
      <c r="R25" s="1" t="s">
        <v>20</v>
      </c>
      <c r="S25" s="1" t="s">
        <v>19</v>
      </c>
      <c r="T25" s="1" t="s">
        <v>18</v>
      </c>
    </row>
    <row r="26" spans="1:20" x14ac:dyDescent="0.25">
      <c r="A26" s="3" t="s">
        <v>17</v>
      </c>
      <c r="B26" s="2">
        <v>0.96</v>
      </c>
      <c r="C26" s="2">
        <v>0.61</v>
      </c>
      <c r="D26" s="2">
        <v>0.85</v>
      </c>
      <c r="E26" s="2">
        <v>0.28000000000000003</v>
      </c>
      <c r="F26" s="2">
        <v>0.09</v>
      </c>
      <c r="H26" s="1" t="str">
        <f>MID(A17,3,6)</f>
        <v>machal</v>
      </c>
      <c r="O26" s="1" t="s">
        <v>16</v>
      </c>
      <c r="P26" s="1" t="s">
        <v>15</v>
      </c>
    </row>
    <row r="27" spans="1:20" x14ac:dyDescent="0.25">
      <c r="A27" s="3" t="s">
        <v>14</v>
      </c>
      <c r="B27" s="2">
        <v>3.08</v>
      </c>
      <c r="C27" s="2">
        <v>3.7</v>
      </c>
      <c r="D27" s="2">
        <v>3.28</v>
      </c>
      <c r="E27" s="2">
        <v>2.08</v>
      </c>
      <c r="F27" s="2">
        <v>0.52</v>
      </c>
      <c r="H27" s="1">
        <f>LEN(A19)</f>
        <v>9</v>
      </c>
      <c r="O27" s="1" t="s">
        <v>13</v>
      </c>
      <c r="P27" s="1">
        <f>VLOOKUP(Table1[[#This Row],[Column1]],A4:F40,2,TRUE)</f>
        <v>1.3</v>
      </c>
      <c r="Q27" s="1">
        <f>VLOOKUP(Table1[[#This Row],[Column1]],A4:F40,3,TRUE)</f>
        <v>1.1299999999999999</v>
      </c>
    </row>
    <row r="28" spans="1:20" x14ac:dyDescent="0.25">
      <c r="A28" s="3" t="s">
        <v>13</v>
      </c>
      <c r="B28" s="2">
        <v>1.3</v>
      </c>
      <c r="C28" s="2">
        <v>1.1299999999999999</v>
      </c>
      <c r="D28" s="2">
        <v>1.24</v>
      </c>
      <c r="E28" s="2">
        <v>1.24</v>
      </c>
      <c r="F28" s="2">
        <v>0.34</v>
      </c>
      <c r="H28" s="1" t="str">
        <f>CONCATENATE(A19,A16,A15)</f>
        <v>JharkhandHaryanaGujarat</v>
      </c>
    </row>
    <row r="29" spans="1:20" x14ac:dyDescent="0.25">
      <c r="A29" s="3" t="s">
        <v>12</v>
      </c>
      <c r="B29" s="2">
        <v>1.62</v>
      </c>
      <c r="C29" s="2">
        <v>1.85</v>
      </c>
      <c r="D29" s="2">
        <v>1.7</v>
      </c>
      <c r="E29" s="2">
        <v>0.75</v>
      </c>
      <c r="F29" s="2">
        <v>0.06</v>
      </c>
      <c r="H29" s="1" t="str">
        <f>TEXT(A15,"dd-MM-YYYY")</f>
        <v>Gujarat</v>
      </c>
    </row>
    <row r="30" spans="1:20" x14ac:dyDescent="0.25">
      <c r="A30" s="3" t="s">
        <v>11</v>
      </c>
      <c r="B30" s="2">
        <v>0.57999999999999996</v>
      </c>
      <c r="C30" s="2">
        <v>0.74</v>
      </c>
      <c r="D30" s="2">
        <v>0.64</v>
      </c>
      <c r="E30" s="2">
        <v>0.57999999999999996</v>
      </c>
      <c r="F30" s="2">
        <v>0.28999999999999998</v>
      </c>
      <c r="H30" s="1" t="str">
        <f>TRIM(A19)</f>
        <v>Jharkhand</v>
      </c>
    </row>
    <row r="31" spans="1:20" x14ac:dyDescent="0.25">
      <c r="A31" s="3" t="s">
        <v>10</v>
      </c>
      <c r="B31" s="2">
        <v>2.11</v>
      </c>
      <c r="C31" s="2">
        <v>2.25</v>
      </c>
      <c r="D31" s="2">
        <v>2.16</v>
      </c>
      <c r="E31" s="2">
        <v>0.79</v>
      </c>
      <c r="F31" s="2">
        <v>0.47</v>
      </c>
      <c r="H31" s="1" t="str">
        <f>UPPER(A19)</f>
        <v>JHARKHAND</v>
      </c>
    </row>
    <row r="32" spans="1:20" x14ac:dyDescent="0.25">
      <c r="A32" s="3" t="s">
        <v>9</v>
      </c>
      <c r="B32" s="2">
        <v>0.96</v>
      </c>
      <c r="C32" s="2">
        <v>0.91</v>
      </c>
      <c r="D32" s="2">
        <v>0.95</v>
      </c>
      <c r="E32" s="2">
        <v>0.24</v>
      </c>
      <c r="F32" s="2">
        <v>0.16</v>
      </c>
    </row>
    <row r="33" spans="1:6" x14ac:dyDescent="0.25">
      <c r="A33" s="3" t="s">
        <v>8</v>
      </c>
      <c r="B33" s="2">
        <v>1.04</v>
      </c>
      <c r="C33" s="2">
        <v>0.63</v>
      </c>
      <c r="D33" s="2">
        <v>0.87</v>
      </c>
      <c r="E33" s="2">
        <v>0.31</v>
      </c>
      <c r="F33" s="2">
        <v>0.19</v>
      </c>
    </row>
    <row r="34" spans="1:6" x14ac:dyDescent="0.25">
      <c r="A34" s="3" t="s">
        <v>7</v>
      </c>
      <c r="B34" s="2">
        <v>1.46</v>
      </c>
      <c r="C34" s="2">
        <v>1.63</v>
      </c>
      <c r="D34" s="2">
        <v>1.52</v>
      </c>
      <c r="E34" s="2">
        <v>0.41</v>
      </c>
      <c r="F34" s="2">
        <v>0.19</v>
      </c>
    </row>
    <row r="35" spans="1:6" x14ac:dyDescent="0.25">
      <c r="A35" s="3" t="s">
        <v>6</v>
      </c>
      <c r="B35" s="2">
        <v>1.24</v>
      </c>
      <c r="C35" s="2">
        <v>0.83</v>
      </c>
      <c r="D35" s="2">
        <v>1.1000000000000001</v>
      </c>
      <c r="E35" s="2">
        <v>0.66</v>
      </c>
      <c r="F35" s="2">
        <v>0.04</v>
      </c>
    </row>
    <row r="36" spans="1:6" x14ac:dyDescent="0.25">
      <c r="A36" s="3" t="s">
        <v>5</v>
      </c>
      <c r="B36" s="2">
        <v>0.6</v>
      </c>
      <c r="C36" s="2">
        <v>0.66</v>
      </c>
      <c r="D36" s="2">
        <v>0.62</v>
      </c>
      <c r="E36" s="2">
        <v>0.43</v>
      </c>
      <c r="F36" s="2">
        <v>0.24</v>
      </c>
    </row>
    <row r="37" spans="1:6" x14ac:dyDescent="0.25">
      <c r="A37" s="3" t="s">
        <v>4</v>
      </c>
      <c r="B37" s="2">
        <v>0.79</v>
      </c>
      <c r="C37" s="2">
        <v>0.56999999999999995</v>
      </c>
      <c r="D37" s="2">
        <v>0.72</v>
      </c>
      <c r="E37" s="2">
        <v>0.1</v>
      </c>
      <c r="F37" s="2">
        <v>0.09</v>
      </c>
    </row>
    <row r="38" spans="1:6" x14ac:dyDescent="0.25">
      <c r="A38" s="3" t="s">
        <v>3</v>
      </c>
      <c r="B38" s="2">
        <v>0.61</v>
      </c>
      <c r="C38" s="2">
        <v>0.48</v>
      </c>
      <c r="D38" s="2">
        <v>0.56000000000000005</v>
      </c>
      <c r="E38" s="2">
        <v>0.32</v>
      </c>
      <c r="F38" s="2">
        <v>0.2</v>
      </c>
    </row>
    <row r="39" spans="1:6" x14ac:dyDescent="0.25">
      <c r="A39" s="3" t="s">
        <v>2</v>
      </c>
      <c r="B39" s="2">
        <v>1.4</v>
      </c>
      <c r="C39" s="2">
        <v>0.97</v>
      </c>
      <c r="D39" s="2">
        <v>0.12</v>
      </c>
      <c r="E39" s="2">
        <v>0.78</v>
      </c>
      <c r="F39" s="2">
        <v>0.46</v>
      </c>
    </row>
    <row r="40" spans="1:6" x14ac:dyDescent="0.25">
      <c r="A40" s="3" t="s">
        <v>1</v>
      </c>
      <c r="B40" s="2">
        <v>1.18</v>
      </c>
      <c r="C40" s="2">
        <v>1.1299999999999999</v>
      </c>
      <c r="D40" s="2">
        <v>1.1599999999999999</v>
      </c>
      <c r="E40" s="2">
        <v>0.56000000000000005</v>
      </c>
      <c r="F40" s="2">
        <v>0.25</v>
      </c>
    </row>
    <row r="41" spans="1:6" x14ac:dyDescent="0.25">
      <c r="A41" s="67" t="s">
        <v>0</v>
      </c>
      <c r="B41" s="68"/>
      <c r="C41" s="68"/>
      <c r="D41" s="68"/>
      <c r="E41" s="68"/>
      <c r="F41" s="69"/>
    </row>
  </sheetData>
  <autoFilter ref="A4:F41" xr:uid="{00000000-0001-0000-0E00-000000000000}"/>
  <mergeCells count="5">
    <mergeCell ref="A1:F1"/>
    <mergeCell ref="A41:F41"/>
    <mergeCell ref="A2:A3"/>
    <mergeCell ref="B2:F2"/>
    <mergeCell ref="H4:K4"/>
  </mergeCells>
  <conditionalFormatting sqref="N24:Q33">
    <cfRule type="dataBar" priority="1">
      <dataBar>
        <cfvo type="min"/>
        <cfvo type="max"/>
        <color rgb="FF638EC6"/>
      </dataBar>
      <extLst>
        <ext xmlns:x14="http://schemas.microsoft.com/office/spreadsheetml/2009/9/main" uri="{B025F937-C7B1-47D3-B67F-A62EFF666E3E}">
          <x14:id>{E0B9957C-B1DD-4184-ADCA-12D4839C74B6}</x14:id>
        </ext>
      </extLst>
    </cfRule>
  </conditionalFormatting>
  <dataValidations count="1">
    <dataValidation type="list" allowBlank="1" showInputMessage="1" showErrorMessage="1" sqref="O27" xr:uid="{988E96CD-8757-4C3C-89A0-DF5D7BCDA068}">
      <formula1>$A$4:$A$40</formula1>
    </dataValidation>
  </dataValidations>
  <hyperlinks>
    <hyperlink ref="H4:K4" location="'SDG 4 - Index'!A1" display="Return to Index Page" xr:uid="{764D9AF9-F1E1-454D-9D11-2617D1B037A9}"/>
  </hyperlink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0B9957C-B1DD-4184-ADCA-12D4839C74B6}">
            <x14:dataBar minLength="0" maxLength="100" gradient="0">
              <x14:cfvo type="autoMin"/>
              <x14:cfvo type="autoMax"/>
              <x14:negativeFillColor rgb="FFFF0000"/>
              <x14:axisColor rgb="FF000000"/>
            </x14:dataBar>
          </x14:cfRule>
          <xm:sqref>N24:Q33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C88C9-6724-4475-B24C-B71BD8EB33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NIF 4.c.1</vt:lpstr>
      <vt:lpstr>NIF 4.a.1 - 2018-19</vt:lpstr>
      <vt:lpstr>NIF 4.a.1 - 2017-18</vt:lpstr>
      <vt:lpstr>NIF 4.a.1 - 2016-17</vt:lpstr>
      <vt:lpstr>School acess</vt:lpstr>
      <vt:lpstr>dashbaord</vt:lpstr>
      <vt:lpstr>literacy rate</vt:lpstr>
      <vt:lpstr>primary school</vt:lpstr>
      <vt:lpstr>Sheet3</vt:lpstr>
      <vt:lpstr>daily excel report</vt:lpstr>
      <vt:lpstr>disablites 2017</vt:lpstr>
      <vt:lpstr>DASHBOARD</vt:lpstr>
      <vt:lpstr>Student Dataset</vt:lpstr>
      <vt:lpstr>Student Dataset (2)</vt:lpstr>
      <vt:lpstr> disabilties 2018</vt:lpstr>
      <vt:lpstr>disablites 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mehta</dc:creator>
  <cp:lastModifiedBy>harsh mehta</cp:lastModifiedBy>
  <dcterms:created xsi:type="dcterms:W3CDTF">2026-05-14T09:31:15Z</dcterms:created>
  <dcterms:modified xsi:type="dcterms:W3CDTF">2026-05-18T06:03:44Z</dcterms:modified>
</cp:coreProperties>
</file>